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ex" sheetId="1" state="visible" r:id="rId1"/>
    <sheet name="01_Scoping_Memo" sheetId="2" state="visible" r:id="rId2"/>
    <sheet name="02_IPE_Register" sheetId="3" state="visible" r:id="rId3"/>
    <sheet name="03_RCM_P2P" sheetId="4" state="visible" r:id="rId4"/>
    <sheet name="04_ITGC_Testing" sheetId="5" state="visible" r:id="rId5"/>
    <sheet name="05_ITAC_Testing" sheetId="6" state="visible" r:id="rId6"/>
    <sheet name="06_SoD_Ruleset" sheetId="7" state="visible" r:id="rId7"/>
    <sheet name="07_SoD_Conflict_Analysis" sheetId="8" state="visible" r:id="rId8"/>
    <sheet name="08_Role_Design" sheetId="9" state="visible" r:id="rId9"/>
    <sheet name="09_Test_of_Details" sheetId="10" state="visible" r:id="rId10"/>
    <sheet name="10_Deficiency_Log" sheetId="11" state="visible" r:id="rId11"/>
    <sheet name="11_Remediation_Roadmap" sheetId="12" state="visible" r:id="rId12"/>
    <sheet name="12_Findings_Report" sheetId="13" state="visible" r:id="rId13"/>
    <sheet name="13_Sampling_Guidanc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  <sz val="9"/>
    </font>
    <font>
      <b val="1"/>
      <color rgb="00FFFFFF"/>
      <sz val="10"/>
    </font>
    <font>
      <sz val="10"/>
    </font>
    <font>
      <b val="1"/>
      <color rgb="001F3864"/>
      <sz val="14"/>
    </font>
    <font>
      <b val="1"/>
      <sz val="10"/>
    </font>
    <font>
      <b val="1"/>
      <color rgb="001F3864"/>
      <sz val="11"/>
    </font>
    <font>
      <b val="1"/>
      <color rgb="00FFC7CE"/>
      <sz val="10"/>
    </font>
    <font>
      <b val="1"/>
      <color rgb="001F3864"/>
      <sz val="12"/>
    </font>
    <font>
      <b val="1"/>
      <color rgb="00375623"/>
      <sz val="10"/>
    </font>
    <font>
      <b val="1"/>
      <color rgb="00C55A11"/>
      <sz val="10"/>
    </font>
  </fonts>
  <fills count="8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vertical="center" wrapText="1"/>
    </xf>
    <xf numFmtId="0" fontId="7" fillId="0" borderId="0" pivotButton="0" quotePrefix="0" xfId="0"/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10" fillId="0" borderId="0" pivotButton="0" quotePrefix="0" xfId="0"/>
    <xf numFmtId="0" fontId="4" fillId="7" borderId="1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4" fillId="0" borderId="1" applyAlignment="1" pivotButton="0" quotePrefix="0" xfId="0">
      <alignment vertical="center"/>
    </xf>
    <xf numFmtId="0" fontId="4" fillId="0" borderId="1" pivotButton="0" quotePrefix="0" xfId="0"/>
    <xf numFmtId="0" fontId="11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2:E19"/>
  <sheetViews>
    <sheetView workbookViewId="0">
      <selection activeCell="A1" sqref="A1"/>
    </sheetView>
  </sheetViews>
  <sheetFormatPr baseColWidth="8" defaultRowHeight="15"/>
  <cols>
    <col width="10" customWidth="1" min="2" max="2"/>
    <col width="16" customWidth="1" min="3" max="3"/>
    <col width="26" customWidth="1" min="4" max="4"/>
    <col width="55" customWidth="1" min="5" max="5"/>
  </cols>
  <sheetData>
    <row r="2">
      <c r="B2" s="1" t="inlineStr">
        <is>
          <t>GRC / ITGC-ITAC AUDIT WORKPAPER PACKAGE</t>
        </is>
      </c>
    </row>
    <row r="3">
      <c r="B3" s="2" t="inlineStr">
        <is>
          <t>Client: ABC Manufacturing Ltd.  |  Period: FY 2025-26  |  System: Oracle Fusion Cloud ERP (24C)</t>
        </is>
      </c>
    </row>
    <row r="4">
      <c r="B4" s="2" t="inlineStr">
        <is>
          <t>Prepared for education/template use. Replace sample data with actual engagement data.</t>
        </is>
      </c>
    </row>
    <row r="6">
      <c r="B6" s="3" t="inlineStr">
        <is>
          <t>WP Ref</t>
        </is>
      </c>
      <c r="C6" s="3" t="inlineStr">
        <is>
          <t>Section</t>
        </is>
      </c>
      <c r="D6" s="3" t="inlineStr">
        <is>
          <t>Deliverable / Tab</t>
        </is>
      </c>
      <c r="E6" s="3" t="inlineStr">
        <is>
          <t>Purpose</t>
        </is>
      </c>
    </row>
    <row r="7">
      <c r="B7" s="4" t="inlineStr">
        <is>
          <t>A-1</t>
        </is>
      </c>
      <c r="C7" s="4" t="inlineStr">
        <is>
          <t>Planning</t>
        </is>
      </c>
      <c r="D7" s="4" t="inlineStr">
        <is>
          <t>01_Scoping_Memo</t>
        </is>
      </c>
      <c r="E7" s="4" t="inlineStr">
        <is>
          <t>Scope, in-scope apps &amp; processes, materiality</t>
        </is>
      </c>
    </row>
    <row r="8">
      <c r="B8" s="5" t="inlineStr">
        <is>
          <t>A-2</t>
        </is>
      </c>
      <c r="C8" s="5" t="inlineStr">
        <is>
          <t>Planning</t>
        </is>
      </c>
      <c r="D8" s="5" t="inlineStr">
        <is>
          <t>02_IPE_Register</t>
        </is>
      </c>
      <c r="E8" s="5" t="inlineStr">
        <is>
          <t>Completeness &amp; accuracy of reports used</t>
        </is>
      </c>
    </row>
    <row r="9">
      <c r="B9" s="4" t="inlineStr">
        <is>
          <t>RCM</t>
        </is>
      </c>
      <c r="C9" s="4" t="inlineStr">
        <is>
          <t>Control Design</t>
        </is>
      </c>
      <c r="D9" s="4" t="inlineStr">
        <is>
          <t>03_RCM_P2P</t>
        </is>
      </c>
      <c r="E9" s="4" t="inlineStr">
        <is>
          <t>Risk Control Matrix - Procure to Pay</t>
        </is>
      </c>
    </row>
    <row r="10">
      <c r="B10" s="5" t="inlineStr">
        <is>
          <t>C</t>
        </is>
      </c>
      <c r="C10" s="5" t="inlineStr">
        <is>
          <t>ITGC</t>
        </is>
      </c>
      <c r="D10" s="5" t="inlineStr">
        <is>
          <t>04_ITGC_Testing</t>
        </is>
      </c>
      <c r="E10" s="5" t="inlineStr">
        <is>
          <t>Access, Change, Operations, Backup tests</t>
        </is>
      </c>
    </row>
    <row r="11">
      <c r="B11" s="4" t="inlineStr">
        <is>
          <t>D</t>
        </is>
      </c>
      <c r="C11" s="4" t="inlineStr">
        <is>
          <t>ITAC</t>
        </is>
      </c>
      <c r="D11" s="4" t="inlineStr">
        <is>
          <t>05_ITAC_Testing</t>
        </is>
      </c>
      <c r="E11" s="4" t="inlineStr">
        <is>
          <t>Automated application controls (3-way match etc.)</t>
        </is>
      </c>
    </row>
    <row r="12">
      <c r="B12" s="5" t="inlineStr">
        <is>
          <t>E-1</t>
        </is>
      </c>
      <c r="C12" s="5" t="inlineStr">
        <is>
          <t>SoD</t>
        </is>
      </c>
      <c r="D12" s="5" t="inlineStr">
        <is>
          <t>06_SoD_Ruleset</t>
        </is>
      </c>
      <c r="E12" s="5" t="inlineStr">
        <is>
          <t>Segregation of Duties conflict rules</t>
        </is>
      </c>
    </row>
    <row r="13">
      <c r="B13" s="4" t="inlineStr">
        <is>
          <t>E-2</t>
        </is>
      </c>
      <c r="C13" s="4" t="inlineStr">
        <is>
          <t>SoD</t>
        </is>
      </c>
      <c r="D13" s="4" t="inlineStr">
        <is>
          <t>07_SoD_Conflict_Analysis</t>
        </is>
      </c>
      <c r="E13" s="4" t="inlineStr">
        <is>
          <t>AAC scan results &amp; disposition</t>
        </is>
      </c>
    </row>
    <row r="14">
      <c r="B14" s="5" t="inlineStr">
        <is>
          <t>E-3</t>
        </is>
      </c>
      <c r="C14" s="5" t="inlineStr">
        <is>
          <t>Security</t>
        </is>
      </c>
      <c r="D14" s="5" t="inlineStr">
        <is>
          <t>08_Role_Design</t>
        </is>
      </c>
      <c r="E14" s="5" t="inlineStr">
        <is>
          <t>Custom role design worksheet</t>
        </is>
      </c>
    </row>
    <row r="15">
      <c r="B15" s="4" t="inlineStr">
        <is>
          <t>F</t>
        </is>
      </c>
      <c r="C15" s="4" t="inlineStr">
        <is>
          <t>Substantive</t>
        </is>
      </c>
      <c r="D15" s="4" t="inlineStr">
        <is>
          <t>09_Test_of_Details</t>
        </is>
      </c>
      <c r="E15" s="4" t="inlineStr">
        <is>
          <t>Reperformance / recalculation</t>
        </is>
      </c>
    </row>
    <row r="16">
      <c r="B16" s="5" t="inlineStr">
        <is>
          <t>G</t>
        </is>
      </c>
      <c r="C16" s="5" t="inlineStr">
        <is>
          <t>Deficiency</t>
        </is>
      </c>
      <c r="D16" s="5" t="inlineStr">
        <is>
          <t>10_Deficiency_Log</t>
        </is>
      </c>
      <c r="E16" s="5" t="inlineStr">
        <is>
          <t>Exception log &amp; severity assessment</t>
        </is>
      </c>
    </row>
    <row r="17">
      <c r="B17" s="4" t="inlineStr">
        <is>
          <t>H</t>
        </is>
      </c>
      <c r="C17" s="4" t="inlineStr">
        <is>
          <t>Remediation</t>
        </is>
      </c>
      <c r="D17" s="4" t="inlineStr">
        <is>
          <t>11_Remediation_Roadmap</t>
        </is>
      </c>
      <c r="E17" s="4" t="inlineStr">
        <is>
          <t>Management action plan &amp; phasing</t>
        </is>
      </c>
    </row>
    <row r="18">
      <c r="B18" s="5" t="inlineStr">
        <is>
          <t>I</t>
        </is>
      </c>
      <c r="C18" s="5" t="inlineStr">
        <is>
          <t>Reporting</t>
        </is>
      </c>
      <c r="D18" s="5" t="inlineStr">
        <is>
          <t>12_Findings_Report</t>
        </is>
      </c>
      <c r="E18" s="5" t="inlineStr">
        <is>
          <t>Formatted findings for audit committee</t>
        </is>
      </c>
    </row>
    <row r="19">
      <c r="B19" s="4" t="inlineStr">
        <is>
          <t>-</t>
        </is>
      </c>
      <c r="C19" s="4" t="inlineStr">
        <is>
          <t>Reference</t>
        </is>
      </c>
      <c r="D19" s="4" t="inlineStr">
        <is>
          <t>13_Sampling_Guidance</t>
        </is>
      </c>
      <c r="E19" s="4" t="inlineStr">
        <is>
          <t>Sample size reference &amp; tickmark legend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496"/>
    <outlinePr summaryBelow="1" summaryRight="1"/>
    <pageSetUpPr/>
  </sheetPr>
  <dimension ref="B2:D2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40" customWidth="1" min="4" max="4"/>
  </cols>
  <sheetData>
    <row r="2">
      <c r="B2" s="6" t="inlineStr">
        <is>
          <t>WP A-1: SCOPING MEMORANDUM</t>
        </is>
      </c>
    </row>
    <row r="4">
      <c r="B4" s="7" t="inlineStr">
        <is>
          <t>Client</t>
        </is>
      </c>
      <c r="C4" s="8" t="inlineStr">
        <is>
          <t>ABC Manufacturing Ltd.</t>
        </is>
      </c>
    </row>
    <row r="5">
      <c r="B5" s="7" t="inlineStr">
        <is>
          <t>Period</t>
        </is>
      </c>
      <c r="C5" s="8" t="inlineStr">
        <is>
          <t>01-Apr-2025 to 31-Mar-2026 (FY 2025-26)</t>
        </is>
      </c>
    </row>
    <row r="6">
      <c r="B6" s="7" t="inlineStr">
        <is>
          <t>System</t>
        </is>
      </c>
      <c r="C6" s="8" t="inlineStr">
        <is>
          <t>Oracle Fusion Cloud ERP (Release 24C)</t>
        </is>
      </c>
    </row>
    <row r="7">
      <c r="B7" s="7" t="inlineStr">
        <is>
          <t>Objective</t>
        </is>
      </c>
      <c r="C7" s="8" t="inlineStr">
        <is>
          <t>Evaluate design &amp; operating effectiveness of ITGC &amp; ITAC over financially significant applications supporting ICFR / SOX 404</t>
        </is>
      </c>
    </row>
    <row r="8">
      <c r="B8" s="7" t="inlineStr">
        <is>
          <t>Testing Approach</t>
        </is>
      </c>
      <c r="C8" s="8" t="inlineStr">
        <is>
          <t>Controls reliance + limited substantive</t>
        </is>
      </c>
    </row>
    <row r="9">
      <c r="B9" s="7" t="inlineStr">
        <is>
          <t>Overall Materiality</t>
        </is>
      </c>
      <c r="C9" s="8" t="inlineStr">
        <is>
          <t>INR 12.5 Cr</t>
        </is>
      </c>
    </row>
    <row r="10">
      <c r="B10" s="7" t="inlineStr">
        <is>
          <t>Performance Materiality</t>
        </is>
      </c>
      <c r="C10" s="8" t="inlineStr">
        <is>
          <t>INR 8.0 Cr</t>
        </is>
      </c>
    </row>
    <row r="11">
      <c r="B11" s="7" t="inlineStr">
        <is>
          <t>Prepared By</t>
        </is>
      </c>
      <c r="C11" s="8" t="inlineStr">
        <is>
          <t>________________   Date: __/__/____</t>
        </is>
      </c>
    </row>
    <row r="12">
      <c r="B12" s="7" t="inlineStr">
        <is>
          <t>Reviewed By</t>
        </is>
      </c>
      <c r="C12" s="8" t="inlineStr">
        <is>
          <t>________________   Date: __/__/____</t>
        </is>
      </c>
    </row>
    <row r="14">
      <c r="B14" s="9" t="inlineStr">
        <is>
          <t>IN-SCOPE APPLICATIONS</t>
        </is>
      </c>
    </row>
    <row r="15">
      <c r="B15" s="3" t="inlineStr">
        <is>
          <t>Application / Module</t>
        </is>
      </c>
      <c r="C15" s="3" t="inlineStr">
        <is>
          <t>Significant?</t>
        </is>
      </c>
      <c r="D15" s="3" t="inlineStr">
        <is>
          <t>Basis</t>
        </is>
      </c>
    </row>
    <row r="16">
      <c r="B16" s="4" t="inlineStr">
        <is>
          <t>Oracle General Ledger</t>
        </is>
      </c>
      <c r="C16" s="10" t="inlineStr">
        <is>
          <t>Yes</t>
        </is>
      </c>
      <c r="D16" s="4" t="inlineStr">
        <is>
          <t>Financial statement close</t>
        </is>
      </c>
    </row>
    <row r="17">
      <c r="B17" s="5" t="inlineStr">
        <is>
          <t>Oracle Payables</t>
        </is>
      </c>
      <c r="C17" s="10" t="inlineStr">
        <is>
          <t>Yes</t>
        </is>
      </c>
      <c r="D17" s="5" t="inlineStr">
        <is>
          <t>Expenses / Accounts Payable</t>
        </is>
      </c>
    </row>
    <row r="18">
      <c r="B18" s="4" t="inlineStr">
        <is>
          <t>Oracle Receivables</t>
        </is>
      </c>
      <c r="C18" s="10" t="inlineStr">
        <is>
          <t>Yes</t>
        </is>
      </c>
      <c r="D18" s="4" t="inlineStr">
        <is>
          <t>Revenue / Accounts Receivable</t>
        </is>
      </c>
    </row>
    <row r="19">
      <c r="B19" s="5" t="inlineStr">
        <is>
          <t>Oracle Fixed Assets</t>
        </is>
      </c>
      <c r="C19" s="10" t="inlineStr">
        <is>
          <t>Yes</t>
        </is>
      </c>
      <c r="D19" s="5" t="inlineStr">
        <is>
          <t>Depreciation / PP&amp;E</t>
        </is>
      </c>
    </row>
    <row r="20">
      <c r="B20" s="4" t="inlineStr">
        <is>
          <t>Oracle Inventory</t>
        </is>
      </c>
      <c r="C20" s="10" t="inlineStr">
        <is>
          <t>Yes</t>
        </is>
      </c>
      <c r="D20" s="4" t="inlineStr">
        <is>
          <t>Cost of Goods Sold</t>
        </is>
      </c>
    </row>
    <row r="21">
      <c r="B21" s="5" t="inlineStr">
        <is>
          <t>Oracle HCM Payroll</t>
        </is>
      </c>
      <c r="C21" s="10" t="inlineStr">
        <is>
          <t>Yes</t>
        </is>
      </c>
      <c r="D21" s="5" t="inlineStr">
        <is>
          <t>Payroll expense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5496"/>
    <outlinePr summaryBelow="1" summaryRight="1"/>
    <pageSetUpPr/>
  </sheetPr>
  <dimension ref="B2:H10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22" customWidth="1" min="4" max="4"/>
    <col width="12" customWidth="1" min="5" max="5"/>
    <col width="15" customWidth="1" min="6" max="6"/>
    <col width="34" customWidth="1" min="7" max="7"/>
    <col width="12" customWidth="1" min="8" max="8"/>
  </cols>
  <sheetData>
    <row r="2">
      <c r="B2" s="6" t="inlineStr">
        <is>
          <t>WP A-2: IPE (Information Produced by Entity) REGISTER</t>
        </is>
      </c>
    </row>
    <row r="3">
      <c r="B3" s="2" t="inlineStr">
        <is>
          <t>Every report used in testing must have Completeness &amp; Accuracy (C&amp;A) validated - most common Big 4 review comment.</t>
        </is>
      </c>
    </row>
    <row r="5">
      <c r="B5" s="3" t="inlineStr">
        <is>
          <t>Report Name</t>
        </is>
      </c>
      <c r="C5" s="3" t="inlineStr">
        <is>
          <t>Source System</t>
        </is>
      </c>
      <c r="D5" s="3" t="inlineStr">
        <is>
          <t>Used For</t>
        </is>
      </c>
      <c r="E5" s="3" t="inlineStr">
        <is>
          <t>Row Count</t>
        </is>
      </c>
      <c r="F5" s="3" t="inlineStr">
        <is>
          <t>C&amp;A Validated?</t>
        </is>
      </c>
      <c r="G5" s="3" t="inlineStr">
        <is>
          <t>Validation Method</t>
        </is>
      </c>
      <c r="H5" s="3" t="inlineStr">
        <is>
          <t>Evidence Ref</t>
        </is>
      </c>
    </row>
    <row r="6">
      <c r="B6" s="4" t="inlineStr">
        <is>
          <t>AP Aging Report</t>
        </is>
      </c>
      <c r="C6" s="4" t="inlineStr">
        <is>
          <t>Oracle Payables</t>
        </is>
      </c>
      <c r="D6" s="4" t="inlineStr">
        <is>
          <t>Sample selection - AP</t>
        </is>
      </c>
      <c r="E6" s="4" t="inlineStr">
        <is>
          <t>1,842</t>
        </is>
      </c>
      <c r="F6" s="10" t="inlineStr">
        <is>
          <t>Yes</t>
        </is>
      </c>
      <c r="G6" s="4" t="inlineStr">
        <is>
          <t>Reconciled to GL; parameters screenshot</t>
        </is>
      </c>
      <c r="H6" s="4" t="inlineStr">
        <is>
          <t>A-2.1</t>
        </is>
      </c>
    </row>
    <row r="7">
      <c r="B7" s="5" t="inlineStr">
        <is>
          <t>Change Log Extract</t>
        </is>
      </c>
      <c r="C7" s="5" t="inlineStr">
        <is>
          <t>Oracle FSM</t>
        </is>
      </c>
      <c r="D7" s="5" t="inlineStr">
        <is>
          <t>ITGC change testing</t>
        </is>
      </c>
      <c r="E7" s="5" t="inlineStr">
        <is>
          <t>18</t>
        </is>
      </c>
      <c r="F7" s="10" t="inlineStr">
        <is>
          <t>Yes</t>
        </is>
      </c>
      <c r="G7" s="5" t="inlineStr">
        <is>
          <t>Full population; sequence completeness check</t>
        </is>
      </c>
      <c r="H7" s="5" t="inlineStr">
        <is>
          <t>A-2.2</t>
        </is>
      </c>
    </row>
    <row r="8">
      <c r="B8" s="4" t="inlineStr">
        <is>
          <t>User Access Listing</t>
        </is>
      </c>
      <c r="C8" s="4" t="inlineStr">
        <is>
          <t>Security Console</t>
        </is>
      </c>
      <c r="D8" s="4" t="inlineStr">
        <is>
          <t>SoD / access testing</t>
        </is>
      </c>
      <c r="E8" s="4" t="inlineStr">
        <is>
          <t>342</t>
        </is>
      </c>
      <c r="F8" s="10" t="inlineStr">
        <is>
          <t>Yes</t>
        </is>
      </c>
      <c r="G8" s="4" t="inlineStr">
        <is>
          <t>Reconciled to HR active employee list</t>
        </is>
      </c>
      <c r="H8" s="4" t="inlineStr">
        <is>
          <t>A-2.3</t>
        </is>
      </c>
    </row>
    <row r="9">
      <c r="B9" s="5" t="inlineStr">
        <is>
          <t>Fixed Asset Register</t>
        </is>
      </c>
      <c r="C9" s="5" t="inlineStr">
        <is>
          <t>Oracle Fixed Assets</t>
        </is>
      </c>
      <c r="D9" s="5" t="inlineStr">
        <is>
          <t>Depreciation reperformance</t>
        </is>
      </c>
      <c r="E9" s="5" t="inlineStr">
        <is>
          <t>1,240</t>
        </is>
      </c>
      <c r="F9" s="10" t="inlineStr">
        <is>
          <t>Yes</t>
        </is>
      </c>
      <c r="G9" s="5" t="inlineStr">
        <is>
          <t>Reconciled to GL net book value</t>
        </is>
      </c>
      <c r="H9" s="5" t="inlineStr">
        <is>
          <t>A-2.4</t>
        </is>
      </c>
    </row>
    <row r="10">
      <c r="B10" s="4" t="inlineStr">
        <is>
          <t>Invoice Register</t>
        </is>
      </c>
      <c r="C10" s="4" t="inlineStr">
        <is>
          <t>Oracle Payables</t>
        </is>
      </c>
      <c r="D10" s="4" t="inlineStr">
        <is>
          <t>3-way match testing</t>
        </is>
      </c>
      <c r="E10" s="4" t="inlineStr">
        <is>
          <t>9,655</t>
        </is>
      </c>
      <c r="F10" s="10" t="inlineStr">
        <is>
          <t>Yes</t>
        </is>
      </c>
      <c r="G10" s="4" t="inlineStr">
        <is>
          <t>Reconciled to AP subledger control a/c</t>
        </is>
      </c>
      <c r="H10" s="4" t="inlineStr">
        <is>
          <t>A-2.5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B2:N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12" customWidth="1" min="3" max="3"/>
    <col width="30" customWidth="1" min="4" max="4"/>
    <col width="8" customWidth="1" min="5" max="5"/>
    <col width="12" customWidth="1" min="6" max="6"/>
    <col width="34" customWidth="1" min="7" max="7"/>
    <col width="12" customWidth="1" min="8" max="8"/>
    <col width="12" customWidth="1" min="9" max="9"/>
    <col width="10" customWidth="1" min="10" max="10"/>
    <col width="14" customWidth="1" min="11" max="11"/>
    <col width="9" customWidth="1" min="12" max="12"/>
    <col width="15" customWidth="1" min="13" max="13"/>
    <col width="30" customWidth="1" min="14" max="14"/>
  </cols>
  <sheetData>
    <row r="2">
      <c r="B2" s="6" t="inlineStr">
        <is>
          <t>RISK CONTROL MATRIX - PROCURE TO PAY (P2P)</t>
        </is>
      </c>
    </row>
    <row r="4">
      <c r="B4" s="3" t="inlineStr">
        <is>
          <t>Risk ID</t>
        </is>
      </c>
      <c r="C4" s="3" t="inlineStr">
        <is>
          <t>Sub-process</t>
        </is>
      </c>
      <c r="D4" s="3" t="inlineStr">
        <is>
          <t>Risk Description</t>
        </is>
      </c>
      <c r="E4" s="3" t="inlineStr">
        <is>
          <t>Rating</t>
        </is>
      </c>
      <c r="F4" s="3" t="inlineStr">
        <is>
          <t>Control ID</t>
        </is>
      </c>
      <c r="G4" s="3" t="inlineStr">
        <is>
          <t>Control Description</t>
        </is>
      </c>
      <c r="H4" s="3" t="inlineStr">
        <is>
          <t>Type</t>
        </is>
      </c>
      <c r="I4" s="3" t="inlineStr">
        <is>
          <t>Nature</t>
        </is>
      </c>
      <c r="J4" s="3" t="inlineStr">
        <is>
          <t>Frequency</t>
        </is>
      </c>
      <c r="K4" s="3" t="inlineStr">
        <is>
          <t>Owner</t>
        </is>
      </c>
      <c r="L4" s="3" t="inlineStr">
        <is>
          <t>SoD Impact</t>
        </is>
      </c>
      <c r="M4" s="3" t="inlineStr">
        <is>
          <t>Assertion</t>
        </is>
      </c>
      <c r="N4" s="3" t="inlineStr">
        <is>
          <t>Test Procedure</t>
        </is>
      </c>
    </row>
    <row r="5">
      <c r="B5" s="4" t="inlineStr">
        <is>
          <t>P2P-R-01</t>
        </is>
      </c>
      <c r="C5" s="4" t="inlineStr">
        <is>
          <t>Requisitioning</t>
        </is>
      </c>
      <c r="D5" s="4" t="inlineStr">
        <is>
          <t>Purchases made without budget/authorization</t>
        </is>
      </c>
      <c r="E5" s="11" t="inlineStr">
        <is>
          <t>High</t>
        </is>
      </c>
      <c r="F5" s="4" t="inlineStr">
        <is>
          <t>P2P-C-01</t>
        </is>
      </c>
      <c r="G5" s="4" t="inlineStr">
        <is>
          <t>System enforces budget check &amp; approval hierarchy on requisition</t>
        </is>
      </c>
      <c r="H5" s="4" t="inlineStr">
        <is>
          <t>Preventive</t>
        </is>
      </c>
      <c r="I5" s="4" t="inlineStr">
        <is>
          <t>Automated</t>
        </is>
      </c>
      <c r="J5" s="4" t="inlineStr">
        <is>
          <t>Per txn</t>
        </is>
      </c>
      <c r="K5" s="4" t="inlineStr">
        <is>
          <t>Procurement Mgr</t>
        </is>
      </c>
      <c r="L5" s="4" t="inlineStr">
        <is>
          <t>No</t>
        </is>
      </c>
      <c r="M5" s="4" t="inlineStr">
        <is>
          <t>Occurrence</t>
        </is>
      </c>
      <c r="N5" s="4" t="inlineStr">
        <is>
          <t>Config review + 1 positive/negative test</t>
        </is>
      </c>
    </row>
    <row r="6">
      <c r="B6" s="5" t="inlineStr">
        <is>
          <t>P2P-R-02</t>
        </is>
      </c>
      <c r="C6" s="5" t="inlineStr">
        <is>
          <t>Purchase Order</t>
        </is>
      </c>
      <c r="D6" s="5" t="inlineStr">
        <is>
          <t>Unauthorized buyer creates PO</t>
        </is>
      </c>
      <c r="E6" s="11" t="inlineStr">
        <is>
          <t>High</t>
        </is>
      </c>
      <c r="F6" s="5" t="inlineStr">
        <is>
          <t>P2P-C-02</t>
        </is>
      </c>
      <c r="G6" s="5" t="inlineStr">
        <is>
          <t>Only authorized buyers can create PO; approval limits enforced</t>
        </is>
      </c>
      <c r="H6" s="5" t="inlineStr">
        <is>
          <t>Preventive</t>
        </is>
      </c>
      <c r="I6" s="5" t="inlineStr">
        <is>
          <t>Automated</t>
        </is>
      </c>
      <c r="J6" s="5" t="inlineStr">
        <is>
          <t>Per txn</t>
        </is>
      </c>
      <c r="K6" s="5" t="inlineStr">
        <is>
          <t>Procurement Mgr</t>
        </is>
      </c>
      <c r="L6" s="12" t="inlineStr">
        <is>
          <t>Yes</t>
        </is>
      </c>
      <c r="M6" s="5" t="inlineStr">
        <is>
          <t>Occurrence</t>
        </is>
      </c>
      <c r="N6" s="5" t="inlineStr">
        <is>
          <t>Config + access review</t>
        </is>
      </c>
    </row>
    <row r="7">
      <c r="B7" s="4" t="inlineStr">
        <is>
          <t>P2P-R-03</t>
        </is>
      </c>
      <c r="C7" s="4" t="inlineStr">
        <is>
          <t>Goods Receipt</t>
        </is>
      </c>
      <c r="D7" s="4" t="inlineStr">
        <is>
          <t>Goods recorded not actually received</t>
        </is>
      </c>
      <c r="E7" s="12" t="inlineStr">
        <is>
          <t>Med</t>
        </is>
      </c>
      <c r="F7" s="4" t="inlineStr">
        <is>
          <t>P2P-C-03</t>
        </is>
      </c>
      <c r="G7" s="4" t="inlineStr">
        <is>
          <t>Receiver segregated from buyer; GRN matched to PO</t>
        </is>
      </c>
      <c r="H7" s="4" t="inlineStr">
        <is>
          <t>Preventive</t>
        </is>
      </c>
      <c r="I7" s="4" t="inlineStr">
        <is>
          <t>IT-Dependent</t>
        </is>
      </c>
      <c r="J7" s="4" t="inlineStr">
        <is>
          <t>Per txn</t>
        </is>
      </c>
      <c r="K7" s="4" t="inlineStr">
        <is>
          <t>Warehouse Head</t>
        </is>
      </c>
      <c r="L7" s="12" t="inlineStr">
        <is>
          <t>Yes</t>
        </is>
      </c>
      <c r="M7" s="4" t="inlineStr">
        <is>
          <t>Existence</t>
        </is>
      </c>
      <c r="N7" s="4" t="inlineStr">
        <is>
          <t>Walkthrough + sample 25</t>
        </is>
      </c>
    </row>
    <row r="8">
      <c r="B8" s="5" t="inlineStr">
        <is>
          <t>P2P-R-04</t>
        </is>
      </c>
      <c r="C8" s="5" t="inlineStr">
        <is>
          <t>Invoicing</t>
        </is>
      </c>
      <c r="D8" s="5" t="inlineStr">
        <is>
          <t>Duplicate invoice / payment</t>
        </is>
      </c>
      <c r="E8" s="11" t="inlineStr">
        <is>
          <t>High</t>
        </is>
      </c>
      <c r="F8" s="5" t="inlineStr">
        <is>
          <t>P2P-C-04</t>
        </is>
      </c>
      <c r="G8" s="5" t="inlineStr">
        <is>
          <t>System blocks duplicate invoice number per supplier</t>
        </is>
      </c>
      <c r="H8" s="5" t="inlineStr">
        <is>
          <t>Preventive</t>
        </is>
      </c>
      <c r="I8" s="5" t="inlineStr">
        <is>
          <t>Automated</t>
        </is>
      </c>
      <c r="J8" s="5" t="inlineStr">
        <is>
          <t>Per txn</t>
        </is>
      </c>
      <c r="K8" s="5" t="inlineStr">
        <is>
          <t>AP Manager</t>
        </is>
      </c>
      <c r="L8" s="5" t="inlineStr">
        <is>
          <t>No</t>
        </is>
      </c>
      <c r="M8" s="5" t="inlineStr">
        <is>
          <t>Accuracy</t>
        </is>
      </c>
      <c r="N8" s="5" t="inlineStr">
        <is>
          <t>Config + negative test</t>
        </is>
      </c>
    </row>
    <row r="9">
      <c r="B9" s="4" t="inlineStr">
        <is>
          <t>P2P-R-05</t>
        </is>
      </c>
      <c r="C9" s="4" t="inlineStr">
        <is>
          <t>Matching</t>
        </is>
      </c>
      <c r="D9" s="4" t="inlineStr">
        <is>
          <t>Invoice paid despite PO/GRN mismatch</t>
        </is>
      </c>
      <c r="E9" s="11" t="inlineStr">
        <is>
          <t>High</t>
        </is>
      </c>
      <c r="F9" s="4" t="inlineStr">
        <is>
          <t>P2P-C-05</t>
        </is>
      </c>
      <c r="G9" s="4" t="inlineStr">
        <is>
          <t>Automated 3-way match; hold applied if variance &gt; tolerance</t>
        </is>
      </c>
      <c r="H9" s="4" t="inlineStr">
        <is>
          <t>Preventive</t>
        </is>
      </c>
      <c r="I9" s="4" t="inlineStr">
        <is>
          <t>Automated</t>
        </is>
      </c>
      <c r="J9" s="4" t="inlineStr">
        <is>
          <t>Per txn</t>
        </is>
      </c>
      <c r="K9" s="4" t="inlineStr">
        <is>
          <t>AP Manager</t>
        </is>
      </c>
      <c r="L9" s="4" t="inlineStr">
        <is>
          <t>No</t>
        </is>
      </c>
      <c r="M9" s="4" t="inlineStr">
        <is>
          <t>Accuracy/Valuation</t>
        </is>
      </c>
      <c r="N9" s="4" t="inlineStr">
        <is>
          <t>Config + positive/negative test</t>
        </is>
      </c>
    </row>
    <row r="10">
      <c r="B10" s="5" t="inlineStr">
        <is>
          <t>P2P-R-06</t>
        </is>
      </c>
      <c r="C10" s="5" t="inlineStr">
        <is>
          <t>Payment</t>
        </is>
      </c>
      <c r="D10" s="5" t="inlineStr">
        <is>
          <t>Unauthorized / fraudulent payment</t>
        </is>
      </c>
      <c r="E10" s="11" t="inlineStr">
        <is>
          <t>High</t>
        </is>
      </c>
      <c r="F10" s="5" t="inlineStr">
        <is>
          <t>P2P-C-06</t>
        </is>
      </c>
      <c r="G10" s="5" t="inlineStr">
        <is>
          <t>Payment approval segregated from invoice entry; dual control on bank</t>
        </is>
      </c>
      <c r="H10" s="5" t="inlineStr">
        <is>
          <t>Preventive</t>
        </is>
      </c>
      <c r="I10" s="5" t="inlineStr">
        <is>
          <t>Manual</t>
        </is>
      </c>
      <c r="J10" s="5" t="inlineStr">
        <is>
          <t>Per txn</t>
        </is>
      </c>
      <c r="K10" s="5" t="inlineStr">
        <is>
          <t>Treasury Head</t>
        </is>
      </c>
      <c r="L10" s="12" t="inlineStr">
        <is>
          <t>Yes</t>
        </is>
      </c>
      <c r="M10" s="5" t="inlineStr">
        <is>
          <t>Occurrence</t>
        </is>
      </c>
      <c r="N10" s="5" t="inlineStr">
        <is>
          <t>Sample 25 + SoD scan</t>
        </is>
      </c>
    </row>
    <row r="11">
      <c r="B11" s="4" t="inlineStr">
        <is>
          <t>P2P-R-07</t>
        </is>
      </c>
      <c r="C11" s="4" t="inlineStr">
        <is>
          <t>Master Data</t>
        </is>
      </c>
      <c r="D11" s="4" t="inlineStr">
        <is>
          <t>Fake supplier created for fraud</t>
        </is>
      </c>
      <c r="E11" s="11" t="inlineStr">
        <is>
          <t>High</t>
        </is>
      </c>
      <c r="F11" s="4" t="inlineStr">
        <is>
          <t>P2P-C-07</t>
        </is>
      </c>
      <c r="G11" s="4" t="inlineStr">
        <is>
          <t>Supplier creation segregated from payment; new supplier approval</t>
        </is>
      </c>
      <c r="H11" s="4" t="inlineStr">
        <is>
          <t>Preventive</t>
        </is>
      </c>
      <c r="I11" s="4" t="inlineStr">
        <is>
          <t>IT-Dependent</t>
        </is>
      </c>
      <c r="J11" s="4" t="inlineStr">
        <is>
          <t>Per event</t>
        </is>
      </c>
      <c r="K11" s="4" t="inlineStr">
        <is>
          <t>Master Data Team</t>
        </is>
      </c>
      <c r="L11" s="12" t="inlineStr">
        <is>
          <t>Yes</t>
        </is>
      </c>
      <c r="M11" s="4" t="inlineStr">
        <is>
          <t>Occurrence</t>
        </is>
      </c>
      <c r="N11" s="4" t="inlineStr">
        <is>
          <t>Sample + SoD scan</t>
        </is>
      </c>
    </row>
    <row r="12">
      <c r="B12" s="5" t="inlineStr">
        <is>
          <t>P2P-R-08</t>
        </is>
      </c>
      <c r="C12" s="5" t="inlineStr">
        <is>
          <t>Reconciliation</t>
        </is>
      </c>
      <c r="D12" s="5" t="inlineStr">
        <is>
          <t>Errors in AP not detected timely</t>
        </is>
      </c>
      <c r="E12" s="12" t="inlineStr">
        <is>
          <t>Med</t>
        </is>
      </c>
      <c r="F12" s="5" t="inlineStr">
        <is>
          <t>P2P-C-08</t>
        </is>
      </c>
      <c r="G12" s="5" t="inlineStr">
        <is>
          <t>Monthly AP subledger to GL reconciliation by independent person</t>
        </is>
      </c>
      <c r="H12" s="5" t="inlineStr">
        <is>
          <t>Detective</t>
        </is>
      </c>
      <c r="I12" s="5" t="inlineStr">
        <is>
          <t>Manual</t>
        </is>
      </c>
      <c r="J12" s="5" t="inlineStr">
        <is>
          <t>Monthly</t>
        </is>
      </c>
      <c r="K12" s="5" t="inlineStr">
        <is>
          <t>AP Manager</t>
        </is>
      </c>
      <c r="L12" s="12" t="inlineStr">
        <is>
          <t>Yes</t>
        </is>
      </c>
      <c r="M12" s="5" t="inlineStr">
        <is>
          <t>Completeness</t>
        </is>
      </c>
      <c r="N12" s="5" t="inlineStr">
        <is>
          <t>Sample 2 months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B2:H29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2" customWidth="1" min="3" max="3"/>
    <col width="20" customWidth="1" min="4" max="4"/>
    <col width="18" customWidth="1" min="5" max="5"/>
    <col width="22" customWidth="1" min="6" max="6"/>
    <col width="12" customWidth="1" min="7" max="7"/>
    <col width="12" customWidth="1" min="8" max="8"/>
  </cols>
  <sheetData>
    <row r="2">
      <c r="B2" s="6" t="inlineStr">
        <is>
          <t>WP C: ITGC TESTING - Access to Programs &amp; Data (Sample)</t>
        </is>
      </c>
    </row>
    <row r="3">
      <c r="B3" s="2" t="inlineStr">
        <is>
          <t>Control ITGC-01: New user access authorized before provisioning. Population=47, Sample=25 (random). Legend: Y=verified, N=exception.</t>
        </is>
      </c>
    </row>
    <row r="5">
      <c r="B5" s="3" t="inlineStr">
        <is>
          <t>Sr</t>
        </is>
      </c>
      <c r="C5" s="3" t="inlineStr">
        <is>
          <t>User ID</t>
        </is>
      </c>
      <c r="D5" s="3" t="inlineStr">
        <is>
          <t>Access Request Form?</t>
        </is>
      </c>
      <c r="E5" s="3" t="inlineStr">
        <is>
          <t>Approved By</t>
        </is>
      </c>
      <c r="F5" s="3" t="inlineStr">
        <is>
          <t>Approval before Grant?</t>
        </is>
      </c>
      <c r="G5" s="3" t="inlineStr">
        <is>
          <t>Result</t>
        </is>
      </c>
      <c r="H5" s="3" t="inlineStr">
        <is>
          <t>Evidence Ref</t>
        </is>
      </c>
    </row>
    <row r="6">
      <c r="B6" s="4" t="n">
        <v>1</v>
      </c>
      <c r="C6" s="4" t="inlineStr">
        <is>
          <t>jsmith</t>
        </is>
      </c>
      <c r="D6" s="4" t="inlineStr">
        <is>
          <t>Y</t>
        </is>
      </c>
      <c r="E6" s="4" t="inlineStr">
        <is>
          <t>Reporting Manager</t>
        </is>
      </c>
      <c r="F6" s="10" t="inlineStr">
        <is>
          <t>Y</t>
        </is>
      </c>
      <c r="G6" s="10" t="inlineStr">
        <is>
          <t>Pass</t>
        </is>
      </c>
      <c r="H6" s="4" t="inlineStr">
        <is>
          <t>C-1.1</t>
        </is>
      </c>
    </row>
    <row r="7">
      <c r="B7" s="5" t="n">
        <v>2</v>
      </c>
      <c r="C7" s="5" t="inlineStr">
        <is>
          <t>rpatel</t>
        </is>
      </c>
      <c r="D7" s="5" t="inlineStr">
        <is>
          <t>Y</t>
        </is>
      </c>
      <c r="E7" s="5" t="inlineStr">
        <is>
          <t>Dept Head</t>
        </is>
      </c>
      <c r="F7" s="10" t="inlineStr">
        <is>
          <t>Y</t>
        </is>
      </c>
      <c r="G7" s="10" t="inlineStr">
        <is>
          <t>Pass</t>
        </is>
      </c>
      <c r="H7" s="5" t="inlineStr">
        <is>
          <t>C-1.2</t>
        </is>
      </c>
    </row>
    <row r="8">
      <c r="B8" s="4" t="n">
        <v>3</v>
      </c>
      <c r="C8" s="4" t="inlineStr">
        <is>
          <t>akhan</t>
        </is>
      </c>
      <c r="D8" s="4" t="inlineStr">
        <is>
          <t>N</t>
        </is>
      </c>
      <c r="E8" s="4" t="inlineStr">
        <is>
          <t>N/A</t>
        </is>
      </c>
      <c r="F8" s="11" t="inlineStr">
        <is>
          <t>N</t>
        </is>
      </c>
      <c r="G8" s="11" t="inlineStr">
        <is>
          <t>FAIL</t>
        </is>
      </c>
      <c r="H8" s="4" t="inlineStr">
        <is>
          <t>C-1.3</t>
        </is>
      </c>
    </row>
    <row r="9">
      <c r="B9" s="5" t="n">
        <v>4</v>
      </c>
      <c r="C9" s="5" t="inlineStr">
        <is>
          <t>slodha</t>
        </is>
      </c>
      <c r="D9" s="5" t="inlineStr">
        <is>
          <t>Y</t>
        </is>
      </c>
      <c r="E9" s="5" t="inlineStr">
        <is>
          <t>Reporting Manager</t>
        </is>
      </c>
      <c r="F9" s="10" t="inlineStr">
        <is>
          <t>Y</t>
        </is>
      </c>
      <c r="G9" s="10" t="inlineStr">
        <is>
          <t>Pass</t>
        </is>
      </c>
      <c r="H9" s="5" t="inlineStr">
        <is>
          <t>C-1.4</t>
        </is>
      </c>
    </row>
    <row r="10">
      <c r="B10" s="4" t="n">
        <v>5</v>
      </c>
      <c r="C10" s="4" t="inlineStr">
        <is>
          <t>dmehta</t>
        </is>
      </c>
      <c r="D10" s="4" t="inlineStr">
        <is>
          <t>Y</t>
        </is>
      </c>
      <c r="E10" s="4" t="inlineStr">
        <is>
          <t>Dept Head</t>
        </is>
      </c>
      <c r="F10" s="10" t="inlineStr">
        <is>
          <t>Y</t>
        </is>
      </c>
      <c r="G10" s="10" t="inlineStr">
        <is>
          <t>Pass</t>
        </is>
      </c>
      <c r="H10" s="4" t="inlineStr">
        <is>
          <t>C-1.5</t>
        </is>
      </c>
    </row>
    <row r="11">
      <c r="B11" s="5" t="n">
        <v>6</v>
      </c>
      <c r="C11" s="5" t="inlineStr">
        <is>
          <t>vnair</t>
        </is>
      </c>
      <c r="D11" s="5" t="inlineStr">
        <is>
          <t>Y</t>
        </is>
      </c>
      <c r="E11" s="5" t="inlineStr">
        <is>
          <t>Reporting Manager</t>
        </is>
      </c>
      <c r="F11" s="10" t="inlineStr">
        <is>
          <t>Y</t>
        </is>
      </c>
      <c r="G11" s="10" t="inlineStr">
        <is>
          <t>Pass</t>
        </is>
      </c>
      <c r="H11" s="5" t="inlineStr">
        <is>
          <t>C-1.6</t>
        </is>
      </c>
    </row>
    <row r="12">
      <c r="B12" s="4" t="inlineStr">
        <is>
          <t>...</t>
        </is>
      </c>
      <c r="C12" s="4" t="inlineStr">
        <is>
          <t>...</t>
        </is>
      </c>
      <c r="D12" s="4" t="inlineStr">
        <is>
          <t>...</t>
        </is>
      </c>
      <c r="E12" s="4" t="inlineStr">
        <is>
          <t>...</t>
        </is>
      </c>
      <c r="F12" s="4" t="inlineStr">
        <is>
          <t>...</t>
        </is>
      </c>
      <c r="G12" s="4" t="inlineStr">
        <is>
          <t>...</t>
        </is>
      </c>
      <c r="H12" s="4" t="inlineStr">
        <is>
          <t>...</t>
        </is>
      </c>
    </row>
    <row r="13">
      <c r="B13" s="5" t="n">
        <v>25</v>
      </c>
      <c r="C13" s="5" t="inlineStr">
        <is>
          <t>mgupta</t>
        </is>
      </c>
      <c r="D13" s="5" t="inlineStr">
        <is>
          <t>Y</t>
        </is>
      </c>
      <c r="E13" s="5" t="inlineStr">
        <is>
          <t>Reporting Manager</t>
        </is>
      </c>
      <c r="F13" s="10" t="inlineStr">
        <is>
          <t>Y</t>
        </is>
      </c>
      <c r="G13" s="10" t="inlineStr">
        <is>
          <t>Pass</t>
        </is>
      </c>
      <c r="H13" s="5" t="inlineStr">
        <is>
          <t>C-1.25</t>
        </is>
      </c>
    </row>
    <row r="15">
      <c r="B15" s="13" t="inlineStr">
        <is>
          <t>EXCEPTIONS: 1 of 25 (akhan - no approval evidence). Exception rate 4%.</t>
        </is>
      </c>
    </row>
    <row r="16">
      <c r="B16" s="7" t="inlineStr">
        <is>
          <t>CONCLUSION: Control NOT operating effectively. Refer Deficiency Log item D-03.</t>
        </is>
      </c>
    </row>
    <row r="19">
      <c r="B19" s="14" t="inlineStr">
        <is>
          <t>WP C-2: CHANGE MANAGEMENT (Sample)</t>
        </is>
      </c>
    </row>
    <row r="20">
      <c r="B20" s="2" t="inlineStr">
        <is>
          <t>ITGC-05: Changes tested &amp; approved before prod. Population=18, Sample=8. A1=CR documented, A2=UAT sign-off, A3=Approved before migration, A4=Dev != Migrator.</t>
        </is>
      </c>
    </row>
    <row r="21">
      <c r="B21" s="3" t="inlineStr">
        <is>
          <t>Sr</t>
        </is>
      </c>
      <c r="C21" s="3" t="inlineStr">
        <is>
          <t>CR#</t>
        </is>
      </c>
      <c r="D21" s="3" t="inlineStr">
        <is>
          <t>A1</t>
        </is>
      </c>
      <c r="E21" s="3" t="inlineStr">
        <is>
          <t>A2</t>
        </is>
      </c>
      <c r="F21" s="3" t="inlineStr">
        <is>
          <t>A3</t>
        </is>
      </c>
      <c r="G21" s="3" t="inlineStr">
        <is>
          <t>A4</t>
        </is>
      </c>
      <c r="H21" s="3" t="inlineStr">
        <is>
          <t>Result</t>
        </is>
      </c>
    </row>
    <row r="22">
      <c r="B22" s="4" t="n">
        <v>1</v>
      </c>
      <c r="C22" s="4" t="inlineStr">
        <is>
          <t>CR-1021</t>
        </is>
      </c>
      <c r="D22" s="4" t="inlineStr">
        <is>
          <t>Y</t>
        </is>
      </c>
      <c r="E22" s="4" t="inlineStr">
        <is>
          <t>Y</t>
        </is>
      </c>
      <c r="F22" s="4" t="inlineStr">
        <is>
          <t>Y</t>
        </is>
      </c>
      <c r="G22" s="10" t="inlineStr">
        <is>
          <t>Y</t>
        </is>
      </c>
      <c r="H22" s="10" t="inlineStr">
        <is>
          <t>Pass</t>
        </is>
      </c>
    </row>
    <row r="23">
      <c r="B23" s="5" t="n">
        <v>2</v>
      </c>
      <c r="C23" s="5" t="inlineStr">
        <is>
          <t>CR-1044</t>
        </is>
      </c>
      <c r="D23" s="5" t="inlineStr">
        <is>
          <t>Y</t>
        </is>
      </c>
      <c r="E23" s="5" t="inlineStr">
        <is>
          <t>Y</t>
        </is>
      </c>
      <c r="F23" s="5" t="inlineStr">
        <is>
          <t>Y</t>
        </is>
      </c>
      <c r="G23" s="11" t="inlineStr">
        <is>
          <t>N</t>
        </is>
      </c>
      <c r="H23" s="11" t="inlineStr">
        <is>
          <t>FAIL</t>
        </is>
      </c>
    </row>
    <row r="24">
      <c r="B24" s="4" t="n">
        <v>3</v>
      </c>
      <c r="C24" s="4" t="inlineStr">
        <is>
          <t>CR-1052</t>
        </is>
      </c>
      <c r="D24" s="4" t="inlineStr">
        <is>
          <t>Y</t>
        </is>
      </c>
      <c r="E24" s="4" t="inlineStr">
        <is>
          <t>Y</t>
        </is>
      </c>
      <c r="F24" s="4" t="inlineStr">
        <is>
          <t>Y</t>
        </is>
      </c>
      <c r="G24" s="10" t="inlineStr">
        <is>
          <t>Y</t>
        </is>
      </c>
      <c r="H24" s="10" t="inlineStr">
        <is>
          <t>Pass</t>
        </is>
      </c>
    </row>
    <row r="25">
      <c r="B25" s="5" t="n">
        <v>4</v>
      </c>
      <c r="C25" s="5" t="inlineStr">
        <is>
          <t>CR-1061</t>
        </is>
      </c>
      <c r="D25" s="5" t="inlineStr">
        <is>
          <t>Y</t>
        </is>
      </c>
      <c r="E25" s="5" t="inlineStr">
        <is>
          <t>Y</t>
        </is>
      </c>
      <c r="F25" s="5" t="inlineStr">
        <is>
          <t>Y</t>
        </is>
      </c>
      <c r="G25" s="10" t="inlineStr">
        <is>
          <t>Y</t>
        </is>
      </c>
      <c r="H25" s="10" t="inlineStr">
        <is>
          <t>Pass</t>
        </is>
      </c>
    </row>
    <row r="26">
      <c r="B26" s="4" t="inlineStr">
        <is>
          <t>...</t>
        </is>
      </c>
      <c r="C26" s="4" t="inlineStr">
        <is>
          <t>...</t>
        </is>
      </c>
      <c r="D26" s="4" t="inlineStr">
        <is>
          <t>...</t>
        </is>
      </c>
      <c r="E26" s="4" t="inlineStr">
        <is>
          <t>...</t>
        </is>
      </c>
      <c r="F26" s="4" t="inlineStr">
        <is>
          <t>...</t>
        </is>
      </c>
      <c r="G26" s="4" t="inlineStr">
        <is>
          <t>...</t>
        </is>
      </c>
      <c r="H26" s="4" t="inlineStr">
        <is>
          <t>...</t>
        </is>
      </c>
    </row>
    <row r="27">
      <c r="B27" s="5" t="n">
        <v>8</v>
      </c>
      <c r="C27" s="5" t="inlineStr">
        <is>
          <t>CR-1099</t>
        </is>
      </c>
      <c r="D27" s="5" t="inlineStr">
        <is>
          <t>Y</t>
        </is>
      </c>
      <c r="E27" s="5" t="inlineStr">
        <is>
          <t>Y</t>
        </is>
      </c>
      <c r="F27" s="5" t="inlineStr">
        <is>
          <t>Y</t>
        </is>
      </c>
      <c r="G27" s="10" t="inlineStr">
        <is>
          <t>Y</t>
        </is>
      </c>
      <c r="H27" s="10" t="inlineStr">
        <is>
          <t>Pass</t>
        </is>
      </c>
    </row>
    <row r="29">
      <c r="B29" s="13" t="inlineStr">
        <is>
          <t>EXCEPTION: CR-1044 - Developer 'dev01' also had migration access (SoD - links to E-2 / D-05).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55A11"/>
    <outlinePr summaryBelow="1" summaryRight="1"/>
    <pageSetUpPr/>
  </sheetPr>
  <dimension ref="B2:H21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8" customWidth="1" min="3" max="3"/>
    <col width="30" customWidth="1" min="4" max="4"/>
    <col width="26" customWidth="1" min="5" max="5"/>
    <col width="12" customWidth="1" min="6" max="6"/>
    <col width="12" customWidth="1" min="7" max="7"/>
  </cols>
  <sheetData>
    <row r="2">
      <c r="B2" s="6" t="inlineStr">
        <is>
          <t>WP D: ITAC TESTING - Automated Application Controls</t>
        </is>
      </c>
    </row>
    <row r="4">
      <c r="B4" s="14" t="inlineStr">
        <is>
          <t>D-1: 3-Way Match Control (ITAC-P2P-05)</t>
        </is>
      </c>
    </row>
    <row r="6">
      <c r="B6" s="7" t="inlineStr">
        <is>
          <t>TEST OF DESIGN - Config verified (Payables Options &gt; Matching)</t>
        </is>
      </c>
    </row>
    <row r="7">
      <c r="B7" s="3" t="inlineStr">
        <is>
          <t>Config Parameter</t>
        </is>
      </c>
      <c r="C7" s="3" t="inlineStr">
        <is>
          <t>Expected</t>
        </is>
      </c>
      <c r="D7" s="3" t="inlineStr">
        <is>
          <t>Actual</t>
        </is>
      </c>
      <c r="E7" s="3" t="inlineStr">
        <is>
          <t>Result</t>
        </is>
      </c>
      <c r="F7" s="3" t="inlineStr">
        <is>
          <t>Evidence</t>
        </is>
      </c>
    </row>
    <row r="8">
      <c r="B8" s="4" t="inlineStr">
        <is>
          <t>Invoice Match Option</t>
        </is>
      </c>
      <c r="C8" s="4" t="inlineStr">
        <is>
          <t>Purchase Order</t>
        </is>
      </c>
      <c r="D8" s="4" t="inlineStr">
        <is>
          <t>Purchase Order</t>
        </is>
      </c>
      <c r="E8" s="10" t="inlineStr">
        <is>
          <t>Pass</t>
        </is>
      </c>
      <c r="F8" s="4" t="inlineStr">
        <is>
          <t>D-1.1</t>
        </is>
      </c>
    </row>
    <row r="9">
      <c r="B9" s="5" t="inlineStr">
        <is>
          <t>Quantity Tolerance</t>
        </is>
      </c>
      <c r="C9" s="5" t="inlineStr">
        <is>
          <t>0%</t>
        </is>
      </c>
      <c r="D9" s="5" t="inlineStr">
        <is>
          <t>0%</t>
        </is>
      </c>
      <c r="E9" s="10" t="inlineStr">
        <is>
          <t>Pass</t>
        </is>
      </c>
      <c r="F9" s="5" t="inlineStr">
        <is>
          <t>D-1.1</t>
        </is>
      </c>
    </row>
    <row r="10">
      <c r="B10" s="4" t="inlineStr">
        <is>
          <t>Price Tolerance</t>
        </is>
      </c>
      <c r="C10" s="4" t="inlineStr">
        <is>
          <t>2% (per policy)</t>
        </is>
      </c>
      <c r="D10" s="4" t="inlineStr">
        <is>
          <t>2%</t>
        </is>
      </c>
      <c r="E10" s="10" t="inlineStr">
        <is>
          <t>Pass</t>
        </is>
      </c>
      <c r="F10" s="4" t="inlineStr">
        <is>
          <t>D-1.1</t>
        </is>
      </c>
    </row>
    <row r="11">
      <c r="B11" s="5" t="inlineStr">
        <is>
          <t>Match Approval Level</t>
        </is>
      </c>
      <c r="C11" s="5" t="inlineStr">
        <is>
          <t>3-Way</t>
        </is>
      </c>
      <c r="D11" s="5" t="inlineStr">
        <is>
          <t>3-Way</t>
        </is>
      </c>
      <c r="E11" s="10" t="inlineStr">
        <is>
          <t>Pass</t>
        </is>
      </c>
      <c r="F11" s="5" t="inlineStr">
        <is>
          <t>D-1.1</t>
        </is>
      </c>
    </row>
    <row r="14">
      <c r="B14" s="7" t="inlineStr">
        <is>
          <t>TEST OF ONE - Positive &amp; Negative testing</t>
        </is>
      </c>
    </row>
    <row r="15">
      <c r="B15" s="3" t="inlineStr">
        <is>
          <t>Test Type</t>
        </is>
      </c>
      <c r="C15" s="3" t="inlineStr">
        <is>
          <t>Invoice #</t>
        </is>
      </c>
      <c r="D15" s="3" t="inlineStr">
        <is>
          <t>Scenario</t>
        </is>
      </c>
      <c r="E15" s="3" t="inlineStr">
        <is>
          <t>Expected Behaviour</t>
        </is>
      </c>
      <c r="F15" s="3" t="inlineStr">
        <is>
          <t>Actual</t>
        </is>
      </c>
      <c r="G15" s="3" t="inlineStr">
        <is>
          <t>Result</t>
        </is>
      </c>
      <c r="H15" s="3" t="inlineStr">
        <is>
          <t>Evidence</t>
        </is>
      </c>
    </row>
    <row r="16">
      <c r="B16" s="4" t="inlineStr">
        <is>
          <t>Positive</t>
        </is>
      </c>
      <c r="C16" s="4" t="inlineStr">
        <is>
          <t>INV-4521</t>
        </is>
      </c>
      <c r="D16" s="4" t="inlineStr">
        <is>
          <t>Qty &amp; price within tolerance</t>
        </is>
      </c>
      <c r="E16" s="4" t="inlineStr">
        <is>
          <t>No hold - allow payment</t>
        </is>
      </c>
      <c r="F16" s="4" t="inlineStr">
        <is>
          <t>No hold applied</t>
        </is>
      </c>
      <c r="G16" s="10" t="inlineStr">
        <is>
          <t>Pass</t>
        </is>
      </c>
      <c r="H16" s="4" t="inlineStr">
        <is>
          <t>D-1.2</t>
        </is>
      </c>
    </row>
    <row r="17">
      <c r="B17" s="5" t="inlineStr">
        <is>
          <t>Negative</t>
        </is>
      </c>
      <c r="C17" s="5" t="inlineStr">
        <is>
          <t>INV-6698</t>
        </is>
      </c>
      <c r="D17" s="5" t="inlineStr">
        <is>
          <t>Price 8% &gt; PO (exceeds 2% tol)</t>
        </is>
      </c>
      <c r="E17" s="5" t="inlineStr">
        <is>
          <t>Price hold applied; payment blocked</t>
        </is>
      </c>
      <c r="F17" s="5" t="inlineStr">
        <is>
          <t>Price hold auto-applied; blocked</t>
        </is>
      </c>
      <c r="G17" s="10" t="inlineStr">
        <is>
          <t>Pass</t>
        </is>
      </c>
      <c r="H17" s="5" t="inlineStr">
        <is>
          <t>D-1.3</t>
        </is>
      </c>
    </row>
    <row r="20">
      <c r="B20" s="15" t="inlineStr">
        <is>
          <t>ITGC DEPENDENCY: Config unchanged during period (per change log WP C-2). Test of one valid for full period.</t>
        </is>
      </c>
    </row>
    <row r="21">
      <c r="B21" s="16" t="inlineStr">
        <is>
          <t>CONCLUSION: Control operating effectively. No exceptions.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B2:G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12" customWidth="1" min="3" max="3"/>
    <col width="24" customWidth="1" min="4" max="4"/>
    <col width="26" customWidth="1" min="5" max="5"/>
    <col width="12" customWidth="1" min="6" max="6"/>
    <col width="40" customWidth="1" min="7" max="7"/>
  </cols>
  <sheetData>
    <row r="2">
      <c r="B2" s="6" t="inlineStr">
        <is>
          <t>WP E-1: SEGREGATION OF DUTIES (SoD) RULESET</t>
        </is>
      </c>
    </row>
    <row r="3">
      <c r="B3" s="2" t="inlineStr">
        <is>
          <t>Core principle: no single person controls a complete transaction cycle. Ruleset used to configure Oracle AAC Access Models.</t>
        </is>
      </c>
    </row>
    <row r="5">
      <c r="B5" s="3" t="inlineStr">
        <is>
          <t>Rule ID</t>
        </is>
      </c>
      <c r="C5" s="3" t="inlineStr">
        <is>
          <t>Process</t>
        </is>
      </c>
      <c r="D5" s="3" t="inlineStr">
        <is>
          <t>Function A</t>
        </is>
      </c>
      <c r="E5" s="3" t="inlineStr">
        <is>
          <t>Function B (Conflicts)</t>
        </is>
      </c>
      <c r="F5" s="3" t="inlineStr">
        <is>
          <t>Risk</t>
        </is>
      </c>
      <c r="G5" s="3" t="inlineStr">
        <is>
          <t>Business Impact</t>
        </is>
      </c>
    </row>
    <row r="6">
      <c r="B6" s="4" t="inlineStr">
        <is>
          <t>SOD-01</t>
        </is>
      </c>
      <c r="C6" s="4" t="inlineStr">
        <is>
          <t>P2P</t>
        </is>
      </c>
      <c r="D6" s="4" t="inlineStr">
        <is>
          <t>Maintain Supplier</t>
        </is>
      </c>
      <c r="E6" s="4" t="inlineStr">
        <is>
          <t>Process AP Payment</t>
        </is>
      </c>
      <c r="F6" s="11" t="inlineStr">
        <is>
          <t>High</t>
        </is>
      </c>
      <c r="G6" s="4" t="inlineStr">
        <is>
          <t>Fake supplier created and self-paid</t>
        </is>
      </c>
    </row>
    <row r="7">
      <c r="B7" s="5" t="inlineStr">
        <is>
          <t>SOD-02</t>
        </is>
      </c>
      <c r="C7" s="5" t="inlineStr">
        <is>
          <t>R2R</t>
        </is>
      </c>
      <c r="D7" s="5" t="inlineStr">
        <is>
          <t>Create Journal</t>
        </is>
      </c>
      <c r="E7" s="5" t="inlineStr">
        <is>
          <t>Approve Journal</t>
        </is>
      </c>
      <c r="F7" s="11" t="inlineStr">
        <is>
          <t>High</t>
        </is>
      </c>
      <c r="G7" s="5" t="inlineStr">
        <is>
          <t>Fraudulent entry self-approved</t>
        </is>
      </c>
    </row>
    <row r="8">
      <c r="B8" s="4" t="inlineStr">
        <is>
          <t>SOD-03</t>
        </is>
      </c>
      <c r="C8" s="4" t="inlineStr">
        <is>
          <t>Treasury</t>
        </is>
      </c>
      <c r="D8" s="4" t="inlineStr">
        <is>
          <t>Maintain Bank Account</t>
        </is>
      </c>
      <c r="E8" s="4" t="inlineStr">
        <is>
          <t>Make Payment</t>
        </is>
      </c>
      <c r="F8" s="11" t="inlineStr">
        <is>
          <t>High</t>
        </is>
      </c>
      <c r="G8" s="4" t="inlineStr">
        <is>
          <t>Payment diverted to own account</t>
        </is>
      </c>
    </row>
    <row r="9">
      <c r="B9" s="5" t="inlineStr">
        <is>
          <t>SOD-04</t>
        </is>
      </c>
      <c r="C9" s="5" t="inlineStr">
        <is>
          <t>P2P</t>
        </is>
      </c>
      <c r="D9" s="5" t="inlineStr">
        <is>
          <t>Enter Purchase Order</t>
        </is>
      </c>
      <c r="E9" s="5" t="inlineStr">
        <is>
          <t>Approve Purchase Order</t>
        </is>
      </c>
      <c r="F9" s="11" t="inlineStr">
        <is>
          <t>High</t>
        </is>
      </c>
      <c r="G9" s="5" t="inlineStr">
        <is>
          <t>Unauthorized purchase self-approved</t>
        </is>
      </c>
    </row>
    <row r="10">
      <c r="B10" s="4" t="inlineStr">
        <is>
          <t>SOD-05</t>
        </is>
      </c>
      <c r="C10" s="4" t="inlineStr">
        <is>
          <t>O2C</t>
        </is>
      </c>
      <c r="D10" s="4" t="inlineStr">
        <is>
          <t>Maintain Customer</t>
        </is>
      </c>
      <c r="E10" s="4" t="inlineStr">
        <is>
          <t>Post Cash Receipt</t>
        </is>
      </c>
      <c r="F10" s="12" t="inlineStr">
        <is>
          <t>Med</t>
        </is>
      </c>
      <c r="G10" s="4" t="inlineStr">
        <is>
          <t>Misapplied receipts / lapping</t>
        </is>
      </c>
    </row>
    <row r="11">
      <c r="B11" s="5" t="inlineStr">
        <is>
          <t>SOD-06</t>
        </is>
      </c>
      <c r="C11" s="5" t="inlineStr">
        <is>
          <t>Security</t>
        </is>
      </c>
      <c r="D11" s="5" t="inlineStr">
        <is>
          <t>User Administration</t>
        </is>
      </c>
      <c r="E11" s="5" t="inlineStr">
        <is>
          <t>Any Financial Transaction</t>
        </is>
      </c>
      <c r="F11" s="17" t="inlineStr">
        <is>
          <t>Critical</t>
        </is>
      </c>
      <c r="G11" s="5" t="inlineStr">
        <is>
          <t>Self-grant access &amp; post entries</t>
        </is>
      </c>
    </row>
    <row r="12">
      <c r="B12" s="4" t="inlineStr">
        <is>
          <t>SOD-07</t>
        </is>
      </c>
      <c r="C12" s="4" t="inlineStr">
        <is>
          <t>Payroll</t>
        </is>
      </c>
      <c r="D12" s="4" t="inlineStr">
        <is>
          <t>Maintain Payroll Data</t>
        </is>
      </c>
      <c r="E12" s="4" t="inlineStr">
        <is>
          <t>Approve Payroll Run</t>
        </is>
      </c>
      <c r="F12" s="11" t="inlineStr">
        <is>
          <t>High</t>
        </is>
      </c>
      <c r="G12" s="4" t="inlineStr">
        <is>
          <t>Ghost employee / inflated pay</t>
        </is>
      </c>
    </row>
    <row r="13">
      <c r="B13" s="5" t="inlineStr">
        <is>
          <t>SOD-08</t>
        </is>
      </c>
      <c r="C13" s="5" t="inlineStr">
        <is>
          <t>P2P</t>
        </is>
      </c>
      <c r="D13" s="5" t="inlineStr">
        <is>
          <t>Enter Invoice</t>
        </is>
      </c>
      <c r="E13" s="5" t="inlineStr">
        <is>
          <t>Approve Payment</t>
        </is>
      </c>
      <c r="F13" s="11" t="inlineStr">
        <is>
          <t>High</t>
        </is>
      </c>
      <c r="G13" s="5" t="inlineStr">
        <is>
          <t>Fictitious invoice self-paid</t>
        </is>
      </c>
    </row>
    <row r="14">
      <c r="B14" s="4" t="inlineStr">
        <is>
          <t>SOD-09</t>
        </is>
      </c>
      <c r="C14" s="4" t="inlineStr">
        <is>
          <t>Inventory</t>
        </is>
      </c>
      <c r="D14" s="4" t="inlineStr">
        <is>
          <t>Adjust Inventory</t>
        </is>
      </c>
      <c r="E14" s="4" t="inlineStr">
        <is>
          <t>Physical Custody of Stock</t>
        </is>
      </c>
      <c r="F14" s="12" t="inlineStr">
        <is>
          <t>Med</t>
        </is>
      </c>
      <c r="G14" s="4" t="inlineStr">
        <is>
          <t>Theft masked by adjustment</t>
        </is>
      </c>
    </row>
    <row r="15">
      <c r="B15" s="5" t="inlineStr">
        <is>
          <t>SOD-10</t>
        </is>
      </c>
      <c r="C15" s="5" t="inlineStr">
        <is>
          <t>R2R</t>
        </is>
      </c>
      <c r="D15" s="5" t="inlineStr">
        <is>
          <t>Post Journal</t>
        </is>
      </c>
      <c r="E15" s="5" t="inlineStr">
        <is>
          <t>Perform Reconciliation</t>
        </is>
      </c>
      <c r="F15" s="12" t="inlineStr">
        <is>
          <t>Med</t>
        </is>
      </c>
      <c r="G15" s="5" t="inlineStr">
        <is>
          <t>Errors/fraud concealed in recon</t>
        </is>
      </c>
    </row>
    <row r="16">
      <c r="B16" s="4" t="inlineStr">
        <is>
          <t>SOD-11</t>
        </is>
      </c>
      <c r="C16" s="4" t="inlineStr">
        <is>
          <t>FA</t>
        </is>
      </c>
      <c r="D16" s="4" t="inlineStr">
        <is>
          <t>Create/Retire Asset</t>
        </is>
      </c>
      <c r="E16" s="4" t="inlineStr">
        <is>
          <t>Approve Asset Disposal</t>
        </is>
      </c>
      <c r="F16" s="12" t="inlineStr">
        <is>
          <t>Med</t>
        </is>
      </c>
      <c r="G16" s="4" t="inlineStr">
        <is>
          <t>Unauthorized asset disposal</t>
        </is>
      </c>
    </row>
    <row r="17">
      <c r="B17" s="5" t="inlineStr">
        <is>
          <t>SOD-12</t>
        </is>
      </c>
      <c r="C17" s="5" t="inlineStr">
        <is>
          <t>O2C</t>
        </is>
      </c>
      <c r="D17" s="5" t="inlineStr">
        <is>
          <t>Approve Credit Limit</t>
        </is>
      </c>
      <c r="E17" s="5" t="inlineStr">
        <is>
          <t>Create Sales Order</t>
        </is>
      </c>
      <c r="F17" s="12" t="inlineStr">
        <is>
          <t>Med</t>
        </is>
      </c>
      <c r="G17" s="5" t="inlineStr">
        <is>
          <t>Sales beyond approved credit</t>
        </is>
      </c>
    </row>
    <row r="20">
      <c r="B20" s="2" t="inlineStr">
        <is>
          <t>Note: Full production ruleset typically contains 60-100+ rules. Above is a representative extract.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B2:F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0" customWidth="1" min="3" max="3"/>
    <col width="12" customWidth="1" min="4" max="4"/>
    <col width="16" customWidth="1" min="5" max="5"/>
    <col width="45" customWidth="1" min="6" max="6"/>
  </cols>
  <sheetData>
    <row r="2">
      <c r="B2" s="6" t="inlineStr">
        <is>
          <t>WP E-2: SoD CONFLICT ANALYSIS (Oracle AAC output)</t>
        </is>
      </c>
    </row>
    <row r="3">
      <c r="B3" s="2" t="inlineStr">
        <is>
          <t>Population: 342 active users scanned via Oracle AAC (path-based). 64 users with 1+ SoD violation.</t>
        </is>
      </c>
    </row>
    <row r="5">
      <c r="B5" s="3" t="inlineStr">
        <is>
          <t>Rule</t>
        </is>
      </c>
      <c r="C5" s="3" t="inlineStr">
        <is>
          <t># Users</t>
        </is>
      </c>
      <c r="D5" s="3" t="inlineStr">
        <is>
          <t>Severity</t>
        </is>
      </c>
      <c r="E5" s="3" t="inlineStr">
        <is>
          <t>Disposition</t>
        </is>
      </c>
      <c r="F5" s="3" t="inlineStr">
        <is>
          <t>Comment</t>
        </is>
      </c>
    </row>
    <row r="6">
      <c r="B6" s="4" t="inlineStr">
        <is>
          <t>SOD-01</t>
        </is>
      </c>
      <c r="C6" s="4" t="n">
        <v>12</v>
      </c>
      <c r="D6" s="4" t="inlineStr">
        <is>
          <t>High</t>
        </is>
      </c>
      <c r="E6" s="4" t="inlineStr">
        <is>
          <t>Remediate</t>
        </is>
      </c>
      <c r="F6" s="4" t="inlineStr">
        <is>
          <t>Remove supplier maintenance access</t>
        </is>
      </c>
    </row>
    <row r="7">
      <c r="B7" s="5" t="inlineStr">
        <is>
          <t>SOD-02</t>
        </is>
      </c>
      <c r="C7" s="5" t="n">
        <v>8</v>
      </c>
      <c r="D7" s="5" t="inlineStr">
        <is>
          <t>High</t>
        </is>
      </c>
      <c r="E7" s="5" t="inlineStr">
        <is>
          <t>Mitigate</t>
        </is>
      </c>
      <c r="F7" s="5" t="inlineStr">
        <is>
          <t>Independent monthly journal review</t>
        </is>
      </c>
    </row>
    <row r="8">
      <c r="B8" s="4" t="inlineStr">
        <is>
          <t>SOD-04</t>
        </is>
      </c>
      <c r="C8" s="4" t="n">
        <v>23</v>
      </c>
      <c r="D8" s="4" t="inlineStr">
        <is>
          <t>High</t>
        </is>
      </c>
      <c r="E8" s="4" t="inlineStr">
        <is>
          <t>Remediate</t>
        </is>
      </c>
      <c r="F8" s="4" t="inlineStr">
        <is>
          <t>Split PO entry vs approval roles</t>
        </is>
      </c>
    </row>
    <row r="9">
      <c r="B9" s="5" t="inlineStr">
        <is>
          <t>SOD-06</t>
        </is>
      </c>
      <c r="C9" s="5" t="n">
        <v>3</v>
      </c>
      <c r="D9" s="5" t="inlineStr">
        <is>
          <t>Critical</t>
        </is>
      </c>
      <c r="E9" s="5" t="inlineStr">
        <is>
          <t>Remediate</t>
        </is>
      </c>
      <c r="F9" s="5" t="inlineStr">
        <is>
          <t>Immediate - remove User Admin from finance</t>
        </is>
      </c>
    </row>
    <row r="10">
      <c r="B10" s="4" t="inlineStr">
        <is>
          <t>SOD-08</t>
        </is>
      </c>
      <c r="C10" s="4" t="n">
        <v>11</v>
      </c>
      <c r="D10" s="4" t="inlineStr">
        <is>
          <t>High</t>
        </is>
      </c>
      <c r="E10" s="4" t="inlineStr">
        <is>
          <t>Remediate</t>
        </is>
      </c>
      <c r="F10" s="4" t="inlineStr">
        <is>
          <t>Custom role redesign</t>
        </is>
      </c>
    </row>
    <row r="11">
      <c r="B11" s="5" t="inlineStr">
        <is>
          <t>SOD-others</t>
        </is>
      </c>
      <c r="C11" s="5" t="n">
        <v>7</v>
      </c>
      <c r="D11" s="5" t="inlineStr">
        <is>
          <t>Med</t>
        </is>
      </c>
      <c r="E11" s="5" t="inlineStr">
        <is>
          <t>Accept/Mitigate</t>
        </is>
      </c>
      <c r="F11" s="5" t="inlineStr">
        <is>
          <t>Compensating controls documented</t>
        </is>
      </c>
    </row>
    <row r="14">
      <c r="B14" s="9" t="inlineStr">
        <is>
          <t>DETAILED CONFLICT SAMPLE (SOD-01) - path-based analysis</t>
        </is>
      </c>
    </row>
    <row r="15">
      <c r="B15" s="7" t="inlineStr">
        <is>
          <t>User</t>
        </is>
      </c>
      <c r="C15" s="18" t="inlineStr">
        <is>
          <t>bshah</t>
        </is>
      </c>
    </row>
    <row r="16">
      <c r="B16" s="7" t="inlineStr">
        <is>
          <t>Conflicting Roles</t>
        </is>
      </c>
      <c r="C16" s="18" t="inlineStr">
        <is>
          <t>Custom_AP_Clerk + Supplier_Maintenance</t>
        </is>
      </c>
    </row>
    <row r="17">
      <c r="B17" s="7" t="inlineStr">
        <is>
          <t>Path A</t>
        </is>
      </c>
      <c r="C17" s="18" t="inlineStr">
        <is>
          <t>bshah -&gt; AP_Clerk_Job -&gt; Payables_Payment_Duty -&gt; 'Create Payment' privilege</t>
        </is>
      </c>
    </row>
    <row r="18">
      <c r="B18" s="7" t="inlineStr">
        <is>
          <t>Path B</t>
        </is>
      </c>
      <c r="C18" s="18" t="inlineStr">
        <is>
          <t>bshah -&gt; Supplier_Job -&gt; Supplier_Mgmt_Duty -&gt; 'Create Supplier' privilege</t>
        </is>
      </c>
    </row>
    <row r="19">
      <c r="B19" s="7" t="inlineStr">
        <is>
          <t>Risk</t>
        </is>
      </c>
      <c r="C19" s="18" t="inlineStr">
        <is>
          <t>Can create fake supplier and self-pay</t>
        </is>
      </c>
    </row>
    <row r="20">
      <c r="B20" s="7" t="inlineStr">
        <is>
          <t>Interim Mitigation</t>
        </is>
      </c>
      <c r="C20" s="18" t="inlineStr">
        <is>
          <t>AP Manager reviews new-supplier + payment report weekly (CC-01)</t>
        </is>
      </c>
    </row>
    <row r="21">
      <c r="B21" s="7" t="inlineStr">
        <is>
          <t>Remediation</t>
        </is>
      </c>
      <c r="C21" s="18" t="inlineStr">
        <is>
          <t>Remove Supplier_Maintenance role by 31-Aug-2026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03864"/>
    <outlinePr summaryBelow="1" summaryRight="1"/>
    <pageSetUpPr/>
  </sheetPr>
  <dimension ref="B2:E14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2" customWidth="1" min="3" max="3"/>
    <col width="34" customWidth="1" min="4" max="4"/>
    <col width="18" customWidth="1" min="5" max="5"/>
  </cols>
  <sheetData>
    <row r="2">
      <c r="B2" s="6" t="inlineStr">
        <is>
          <t>WP E-3: CUSTOM ROLE DESIGN WORKSHEET</t>
        </is>
      </c>
    </row>
    <row r="3">
      <c r="B3" s="2" t="inlineStr">
        <is>
          <t>Custom role: XX_AP_MANAGER_CUSTOM (copied from seeded 'Accounts Payable Manager'). Principle: least privilege + SoD clean.</t>
        </is>
      </c>
    </row>
    <row r="5">
      <c r="B5" s="3" t="inlineStr">
        <is>
          <t>Duty Role</t>
        </is>
      </c>
      <c r="C5" s="3" t="inlineStr">
        <is>
          <t>Action</t>
        </is>
      </c>
      <c r="D5" s="3" t="inlineStr">
        <is>
          <t>Reason</t>
        </is>
      </c>
      <c r="E5" s="3" t="inlineStr">
        <is>
          <t>SoD Rule Addressed</t>
        </is>
      </c>
    </row>
    <row r="6">
      <c r="B6" s="4" t="inlineStr">
        <is>
          <t>Supplier Profile Management Duty</t>
        </is>
      </c>
      <c r="C6" s="11" t="inlineStr">
        <is>
          <t>REMOVE</t>
        </is>
      </c>
      <c r="D6" s="4" t="inlineStr">
        <is>
          <t>Conflicts with payment (SOD-01)</t>
        </is>
      </c>
      <c r="E6" s="4" t="inlineStr">
        <is>
          <t>SOD-01</t>
        </is>
      </c>
    </row>
    <row r="7">
      <c r="B7" s="5" t="inlineStr">
        <is>
          <t>Bank Account Setup Duty</t>
        </is>
      </c>
      <c r="C7" s="11" t="inlineStr">
        <is>
          <t>REMOVE</t>
        </is>
      </c>
      <c r="D7" s="5" t="inlineStr">
        <is>
          <t>Conflicts with payment (SOD-03)</t>
        </is>
      </c>
      <c r="E7" s="5" t="inlineStr">
        <is>
          <t>SOD-03</t>
        </is>
      </c>
    </row>
    <row r="8">
      <c r="B8" s="4" t="inlineStr">
        <is>
          <t>Payables Invoice Approval Duty</t>
        </is>
      </c>
      <c r="C8" s="10" t="inlineStr">
        <is>
          <t>RETAIN</t>
        </is>
      </c>
      <c r="D8" s="4" t="inlineStr">
        <is>
          <t>Core manager function</t>
        </is>
      </c>
      <c r="E8" s="4" t="inlineStr">
        <is>
          <t>-</t>
        </is>
      </c>
    </row>
    <row r="9">
      <c r="B9" s="5" t="inlineStr">
        <is>
          <t>Payables Payment Approval Duty</t>
        </is>
      </c>
      <c r="C9" s="10" t="inlineStr">
        <is>
          <t>RETAIN</t>
        </is>
      </c>
      <c r="D9" s="5" t="inlineStr">
        <is>
          <t>Core manager function</t>
        </is>
      </c>
      <c r="E9" s="5" t="inlineStr">
        <is>
          <t>-</t>
        </is>
      </c>
    </row>
    <row r="10">
      <c r="B10" s="4" t="inlineStr">
        <is>
          <t>AP Inquiry &amp; Reporting Duty</t>
        </is>
      </c>
      <c r="C10" s="10" t="inlineStr">
        <is>
          <t>RETAIN</t>
        </is>
      </c>
      <c r="D10" s="4" t="inlineStr">
        <is>
          <t>Read-only reporting</t>
        </is>
      </c>
      <c r="E10" s="4" t="inlineStr">
        <is>
          <t>-</t>
        </is>
      </c>
    </row>
    <row r="11">
      <c r="B11" s="5" t="inlineStr">
        <is>
          <t>User Account Management Duty</t>
        </is>
      </c>
      <c r="C11" s="11" t="inlineStr">
        <is>
          <t>REMOVE</t>
        </is>
      </c>
      <c r="D11" s="5" t="inlineStr">
        <is>
          <t>Conflicts with any txn (SOD-06)</t>
        </is>
      </c>
      <c r="E11" s="5" t="inlineStr">
        <is>
          <t>SOD-06</t>
        </is>
      </c>
    </row>
    <row r="13">
      <c r="B13" s="7" t="inlineStr">
        <is>
          <t>DATA SECURITY: Business Unit = 'India Operations' only.</t>
        </is>
      </c>
    </row>
    <row r="14">
      <c r="B14" s="16" t="inlineStr">
        <is>
          <t>SoD RE-SCAN AFTER DESIGN (simulated in AAC before deploy): 0 conflicts - PASS.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48235"/>
    <outlinePr summaryBelow="1" summaryRight="1"/>
    <pageSetUpPr/>
  </sheetPr>
  <dimension ref="B2:J15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2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  <col width="10" customWidth="1" min="9" max="9"/>
    <col width="12" customWidth="1" min="10" max="10"/>
  </cols>
  <sheetData>
    <row r="2">
      <c r="B2" s="6" t="inlineStr">
        <is>
          <t>WP F-1: TEST OF DETAILS - Depreciation Reperformance</t>
        </is>
      </c>
    </row>
    <row r="3">
      <c r="B3" s="2" t="inlineStr">
        <is>
          <t>Objective: verify accuracy of FA depreciation (Accuracy/Valuation). Population=1,240; Sample=30 (monetary + random). Formula auto-computes.</t>
        </is>
      </c>
    </row>
    <row r="5">
      <c r="B5" s="3" t="inlineStr">
        <is>
          <t>Sr</t>
        </is>
      </c>
      <c r="C5" s="3" t="inlineStr">
        <is>
          <t>Asset ID</t>
        </is>
      </c>
      <c r="D5" s="3" t="inlineStr">
        <is>
          <t>Cost (INR)</t>
        </is>
      </c>
      <c r="E5" s="3" t="inlineStr">
        <is>
          <t>Life (yrs)</t>
        </is>
      </c>
      <c r="F5" s="3" t="inlineStr">
        <is>
          <t>Method</t>
        </is>
      </c>
      <c r="G5" s="3" t="inlineStr">
        <is>
          <t>System Dep</t>
        </is>
      </c>
      <c r="H5" s="3" t="inlineStr">
        <is>
          <t>Recalc Dep</t>
        </is>
      </c>
      <c r="I5" s="3" t="inlineStr">
        <is>
          <t>Diff</t>
        </is>
      </c>
      <c r="J5" s="3" t="inlineStr">
        <is>
          <t>Result</t>
        </is>
      </c>
    </row>
    <row r="6">
      <c r="B6" s="19" t="n">
        <v>1</v>
      </c>
      <c r="C6" s="19" t="inlineStr">
        <is>
          <t>FA-1001</t>
        </is>
      </c>
      <c r="D6" s="19" t="n">
        <v>500000</v>
      </c>
      <c r="E6" s="19" t="n">
        <v>5</v>
      </c>
      <c r="F6" s="19" t="inlineStr">
        <is>
          <t>SLM</t>
        </is>
      </c>
      <c r="G6" s="19" t="n">
        <v>100000</v>
      </c>
      <c r="H6" s="20">
        <f>ROUND(D6/E6,0)</f>
        <v/>
      </c>
      <c r="I6" s="20">
        <f>G6-H6</f>
        <v/>
      </c>
      <c r="J6" s="20">
        <f>IF(ABS(I6)&lt;1,"Pass","EXCEPTION")</f>
        <v/>
      </c>
    </row>
    <row r="7">
      <c r="B7" s="19" t="n">
        <v>2</v>
      </c>
      <c r="C7" s="19" t="inlineStr">
        <is>
          <t>FA-1044</t>
        </is>
      </c>
      <c r="D7" s="19" t="n">
        <v>240000</v>
      </c>
      <c r="E7" s="19" t="n">
        <v>4</v>
      </c>
      <c r="F7" s="19" t="inlineStr">
        <is>
          <t>SLM</t>
        </is>
      </c>
      <c r="G7" s="19" t="n">
        <v>60000</v>
      </c>
      <c r="H7" s="20">
        <f>ROUND(D7/E7,0)</f>
        <v/>
      </c>
      <c r="I7" s="20">
        <f>G7-H7</f>
        <v/>
      </c>
      <c r="J7" s="20">
        <f>IF(ABS(I7)&lt;1,"Pass","EXCEPTION")</f>
        <v/>
      </c>
    </row>
    <row r="8">
      <c r="B8" s="19" t="n">
        <v>3</v>
      </c>
      <c r="C8" s="19" t="inlineStr">
        <is>
          <t>FA-1120</t>
        </is>
      </c>
      <c r="D8" s="19" t="n">
        <v>750000</v>
      </c>
      <c r="E8" s="19" t="n">
        <v>5</v>
      </c>
      <c r="F8" s="19" t="inlineStr">
        <is>
          <t>SLM</t>
        </is>
      </c>
      <c r="G8" s="19" t="n">
        <v>150000</v>
      </c>
      <c r="H8" s="20">
        <f>ROUND(D8/E8,0)</f>
        <v/>
      </c>
      <c r="I8" s="20">
        <f>G8-H8</f>
        <v/>
      </c>
      <c r="J8" s="20">
        <f>IF(ABS(I8)&lt;1,"Pass","EXCEPTION")</f>
        <v/>
      </c>
    </row>
    <row r="9">
      <c r="B9" s="19" t="n">
        <v>4</v>
      </c>
      <c r="C9" s="19" t="inlineStr">
        <is>
          <t>FA-1355</t>
        </is>
      </c>
      <c r="D9" s="19" t="n">
        <v>360000</v>
      </c>
      <c r="E9" s="19" t="n">
        <v>3</v>
      </c>
      <c r="F9" s="19" t="inlineStr">
        <is>
          <t>SLM</t>
        </is>
      </c>
      <c r="G9" s="19" t="n">
        <v>120000</v>
      </c>
      <c r="H9" s="20">
        <f>ROUND(D9/E9,0)</f>
        <v/>
      </c>
      <c r="I9" s="20">
        <f>G9-H9</f>
        <v/>
      </c>
      <c r="J9" s="20">
        <f>IF(ABS(I9)&lt;1,"Pass","EXCEPTION")</f>
        <v/>
      </c>
    </row>
    <row r="10">
      <c r="B10" s="19" t="n">
        <v>5</v>
      </c>
      <c r="C10" s="19" t="inlineStr">
        <is>
          <t>FA-1502</t>
        </is>
      </c>
      <c r="D10" s="19" t="n">
        <v>900000</v>
      </c>
      <c r="E10" s="19" t="n">
        <v>10</v>
      </c>
      <c r="F10" s="19" t="inlineStr">
        <is>
          <t>SLM</t>
        </is>
      </c>
      <c r="G10" s="19" t="n">
        <v>90000</v>
      </c>
      <c r="H10" s="20">
        <f>ROUND(D10/E10,0)</f>
        <v/>
      </c>
      <c r="I10" s="20">
        <f>G10-H10</f>
        <v/>
      </c>
      <c r="J10" s="20">
        <f>IF(ABS(I10)&lt;1,"Pass","EXCEPTION")</f>
        <v/>
      </c>
    </row>
    <row r="11">
      <c r="B11" s="19" t="n">
        <v>6</v>
      </c>
      <c r="C11" s="19" t="inlineStr">
        <is>
          <t>FA-1780</t>
        </is>
      </c>
      <c r="D11" s="19" t="n">
        <v>480000</v>
      </c>
      <c r="E11" s="19" t="n">
        <v>4</v>
      </c>
      <c r="F11" s="19" t="inlineStr">
        <is>
          <t>SLM</t>
        </is>
      </c>
      <c r="G11" s="19" t="n">
        <v>120000</v>
      </c>
      <c r="H11" s="20">
        <f>ROUND(D11/E11,0)</f>
        <v/>
      </c>
      <c r="I11" s="20">
        <f>G11-H11</f>
        <v/>
      </c>
      <c r="J11" s="20">
        <f>IF(ABS(I11)&lt;1,"Pass","EXCEPTION")</f>
        <v/>
      </c>
    </row>
    <row r="12">
      <c r="B12" s="19" t="n">
        <v>7</v>
      </c>
      <c r="C12" s="19" t="inlineStr">
        <is>
          <t>FA-2210</t>
        </is>
      </c>
      <c r="D12" s="19" t="n">
        <v>900000</v>
      </c>
      <c r="E12" s="19" t="n">
        <v>3</v>
      </c>
      <c r="F12" s="19" t="inlineStr">
        <is>
          <t>SLM</t>
        </is>
      </c>
      <c r="G12" s="19" t="n">
        <v>300300</v>
      </c>
      <c r="H12" s="20">
        <f>ROUND(D12/E12,0)</f>
        <v/>
      </c>
      <c r="I12" s="20">
        <f>G12-H12</f>
        <v/>
      </c>
      <c r="J12" s="20">
        <f>IF(ABS(I12)&lt;1,"Pass","EXCEPTION")</f>
        <v/>
      </c>
    </row>
    <row r="14">
      <c r="B14" s="21" t="inlineStr">
        <is>
          <t>EXCEPTION: FA-2210 - rounding config diff INR 300 (immaterial).</t>
        </is>
      </c>
    </row>
    <row r="15">
      <c r="B15" s="7" t="inlineStr">
        <is>
          <t>CONCLUSION: Depreciation calculation accurate. Immaterial difference noted, no impact.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BF8F00"/>
    <outlinePr summaryBelow="1" summaryRight="1"/>
    <pageSetUpPr/>
  </sheetPr>
  <dimension ref="B2:J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10" customWidth="1" min="4" max="4"/>
    <col width="18" customWidth="1" min="5" max="5"/>
    <col width="12" customWidth="1" min="6" max="6"/>
    <col width="16" customWidth="1" min="7" max="7"/>
    <col width="18" customWidth="1" min="8" max="8"/>
    <col width="20" customWidth="1" min="9" max="9"/>
    <col width="10" customWidth="1" min="10" max="10"/>
  </cols>
  <sheetData>
    <row r="2">
      <c r="B2" s="6" t="inlineStr">
        <is>
          <t>WP G: DEFICIENCY / EXCEPTION LOG &amp; SEVERITY</t>
        </is>
      </c>
    </row>
    <row r="4">
      <c r="B4" s="3" t="inlineStr">
        <is>
          <t>Def #</t>
        </is>
      </c>
      <c r="C4" s="3" t="inlineStr">
        <is>
          <t>Deficiency Description</t>
        </is>
      </c>
      <c r="D4" s="3" t="inlineStr">
        <is>
          <t>Ref WP</t>
        </is>
      </c>
      <c r="E4" s="3" t="inlineStr">
        <is>
          <t>Could cause misstatement?</t>
        </is>
      </c>
      <c r="F4" s="3" t="inlineStr">
        <is>
          <t>Magnitude</t>
        </is>
      </c>
      <c r="G4" s="3" t="inlineStr">
        <is>
          <t>Likelihood</t>
        </is>
      </c>
      <c r="H4" s="3" t="inlineStr">
        <is>
          <t>Compensating Control?</t>
        </is>
      </c>
      <c r="I4" s="3" t="inlineStr">
        <is>
          <t>Severity</t>
        </is>
      </c>
      <c r="J4" s="3" t="inlineStr">
        <is>
          <t>Status</t>
        </is>
      </c>
    </row>
    <row r="5">
      <c r="B5" s="4" t="inlineStr">
        <is>
          <t>D-03</t>
        </is>
      </c>
      <c r="C5" s="4" t="inlineStr">
        <is>
          <t>1 user provisioned without approval evidence</t>
        </is>
      </c>
      <c r="D5" s="4" t="inlineStr">
        <is>
          <t>C-1</t>
        </is>
      </c>
      <c r="E5" s="4" t="inlineStr">
        <is>
          <t>Yes (limited)</t>
        </is>
      </c>
      <c r="F5" s="4" t="inlineStr">
        <is>
          <t>Low</t>
        </is>
      </c>
      <c r="G5" s="4" t="inlineStr">
        <is>
          <t>Remote</t>
        </is>
      </c>
      <c r="H5" s="4" t="inlineStr">
        <is>
          <t>Periodic access review</t>
        </is>
      </c>
      <c r="I5" s="12" t="inlineStr">
        <is>
          <t>Control Deficiency</t>
        </is>
      </c>
      <c r="J5" s="4" t="inlineStr">
        <is>
          <t>Open</t>
        </is>
      </c>
    </row>
    <row r="6">
      <c r="B6" s="5" t="inlineStr">
        <is>
          <t>D-05</t>
        </is>
      </c>
      <c r="C6" s="5" t="inlineStr">
        <is>
          <t>Developer had prod migration access (SoD)</t>
        </is>
      </c>
      <c r="D6" s="5" t="inlineStr">
        <is>
          <t>C-2/E-2</t>
        </is>
      </c>
      <c r="E6" s="5" t="inlineStr">
        <is>
          <t>Yes</t>
        </is>
      </c>
      <c r="F6" s="5" t="inlineStr">
        <is>
          <t>Moderate</t>
        </is>
      </c>
      <c r="G6" s="5" t="inlineStr">
        <is>
          <t>Reasonably possible</t>
        </is>
      </c>
      <c r="H6" s="5" t="inlineStr">
        <is>
          <t>None effective</t>
        </is>
      </c>
      <c r="I6" s="11" t="inlineStr">
        <is>
          <t>Significant Deficiency</t>
        </is>
      </c>
      <c r="J6" s="5" t="inlineStr">
        <is>
          <t>Open</t>
        </is>
      </c>
    </row>
    <row r="7">
      <c r="B7" s="4" t="inlineStr">
        <is>
          <t>D-08</t>
        </is>
      </c>
      <c r="C7" s="4" t="inlineStr">
        <is>
          <t>3 users: User Admin + financial txn access</t>
        </is>
      </c>
      <c r="D7" s="4" t="inlineStr">
        <is>
          <t>E-2</t>
        </is>
      </c>
      <c r="E7" s="4" t="inlineStr">
        <is>
          <t>Yes</t>
        </is>
      </c>
      <c r="F7" s="4" t="inlineStr">
        <is>
          <t>Material</t>
        </is>
      </c>
      <c r="G7" s="4" t="inlineStr">
        <is>
          <t>Reasonably possible</t>
        </is>
      </c>
      <c r="H7" s="4" t="inlineStr">
        <is>
          <t>None</t>
        </is>
      </c>
      <c r="I7" s="17" t="inlineStr">
        <is>
          <t>MATERIAL WEAKNESS</t>
        </is>
      </c>
      <c r="J7" s="4" t="inlineStr">
        <is>
          <t>Open</t>
        </is>
      </c>
    </row>
    <row r="8">
      <c r="B8" s="5" t="inlineStr">
        <is>
          <t>D-11</t>
        </is>
      </c>
      <c r="C8" s="5" t="inlineStr">
        <is>
          <t>Rounding diff in depreciation config</t>
        </is>
      </c>
      <c r="D8" s="5" t="inlineStr">
        <is>
          <t>F-1</t>
        </is>
      </c>
      <c r="E8" s="5" t="inlineStr">
        <is>
          <t>Yes (immaterial)</t>
        </is>
      </c>
      <c r="F8" s="5" t="inlineStr">
        <is>
          <t>Trivial</t>
        </is>
      </c>
      <c r="G8" s="5" t="inlineStr">
        <is>
          <t>Remote</t>
        </is>
      </c>
      <c r="H8" s="5" t="inlineStr">
        <is>
          <t>GL recon</t>
        </is>
      </c>
      <c r="I8" s="12" t="inlineStr">
        <is>
          <t>Control Deficiency</t>
        </is>
      </c>
      <c r="J8" s="5" t="inlineStr">
        <is>
          <t>Open</t>
        </is>
      </c>
    </row>
    <row r="11">
      <c r="B11" s="2" t="inlineStr">
        <is>
          <t>Severity logic: (1) Could it cause misstatement? (2) Magnitude? (3) Likelihood? (4) Compensating controls? -&gt; classify Control Deficiency / Significant Deficiency / Material Weakness.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75B6"/>
    <outlinePr summaryBelow="1" summaryRight="1"/>
    <pageSetUpPr/>
  </sheetPr>
  <dimension ref="B2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34" customWidth="1" min="3" max="3"/>
    <col width="12" customWidth="1" min="4" max="4"/>
    <col width="16" customWidth="1" min="5" max="5"/>
    <col width="16" customWidth="1" min="6" max="6"/>
    <col width="14" customWidth="1" min="7" max="7"/>
    <col width="26" customWidth="1" min="8" max="8"/>
    <col width="12" customWidth="1" min="9" max="9"/>
  </cols>
  <sheetData>
    <row r="2">
      <c r="B2" s="6" t="inlineStr">
        <is>
          <t>WP H: REMEDIATION ROADMAP / MANAGEMENT ACTION PLAN</t>
        </is>
      </c>
    </row>
    <row r="4">
      <c r="B4" s="3" t="inlineStr">
        <is>
          <t>Def #</t>
        </is>
      </c>
      <c r="C4" s="3" t="inlineStr">
        <is>
          <t>Remediation Action</t>
        </is>
      </c>
      <c r="D4" s="3" t="inlineStr">
        <is>
          <t>Priority</t>
        </is>
      </c>
      <c r="E4" s="3" t="inlineStr">
        <is>
          <t>Phase</t>
        </is>
      </c>
      <c r="F4" s="3" t="inlineStr">
        <is>
          <t>Owner</t>
        </is>
      </c>
      <c r="G4" s="3" t="inlineStr">
        <is>
          <t>Target Date</t>
        </is>
      </c>
      <c r="H4" s="3" t="inlineStr">
        <is>
          <t>Validation Method</t>
        </is>
      </c>
      <c r="I4" s="3" t="inlineStr">
        <is>
          <t>Status</t>
        </is>
      </c>
    </row>
    <row r="5">
      <c r="B5" s="4" t="inlineStr">
        <is>
          <t>D-08</t>
        </is>
      </c>
      <c r="C5" s="4" t="inlineStr">
        <is>
          <t>Remove User Admin duty from 3 finance users</t>
        </is>
      </c>
      <c r="D5" s="4" t="inlineStr">
        <is>
          <t>P1-Critical</t>
        </is>
      </c>
      <c r="E5" s="4" t="inlineStr">
        <is>
          <t>Phase 1 (0-30d)</t>
        </is>
      </c>
      <c r="F5" s="4" t="inlineStr">
        <is>
          <t>IT Security Head</t>
        </is>
      </c>
      <c r="G5" s="4" t="inlineStr">
        <is>
          <t>15-Jul-2026</t>
        </is>
      </c>
      <c r="H5" s="4" t="inlineStr">
        <is>
          <t>AAC re-scan = 0 conflicts</t>
        </is>
      </c>
      <c r="I5" s="4" t="inlineStr">
        <is>
          <t>In Progress</t>
        </is>
      </c>
    </row>
    <row r="6">
      <c r="B6" s="5" t="inlineStr">
        <is>
          <t>D-05</t>
        </is>
      </c>
      <c r="C6" s="5" t="inlineStr">
        <is>
          <t>Segregate developer &amp; migration access</t>
        </is>
      </c>
      <c r="D6" s="5" t="inlineStr">
        <is>
          <t>P2-High</t>
        </is>
      </c>
      <c r="E6" s="5" t="inlineStr">
        <is>
          <t>Phase 2 (1-3m)</t>
        </is>
      </c>
      <c r="F6" s="5" t="inlineStr">
        <is>
          <t>IT Manager</t>
        </is>
      </c>
      <c r="G6" s="5" t="inlineStr">
        <is>
          <t>31-Aug-2026</t>
        </is>
      </c>
      <c r="H6" s="5" t="inlineStr">
        <is>
          <t>Change log + SoD re-test</t>
        </is>
      </c>
      <c r="I6" s="5" t="inlineStr">
        <is>
          <t>Planned</t>
        </is>
      </c>
    </row>
    <row r="7">
      <c r="B7" s="4" t="inlineStr">
        <is>
          <t>SOD-04</t>
        </is>
      </c>
      <c r="C7" s="4" t="inlineStr">
        <is>
          <t>Redesign PO custom roles (entry vs approval)</t>
        </is>
      </c>
      <c r="D7" s="4" t="inlineStr">
        <is>
          <t>P2-High</t>
        </is>
      </c>
      <c r="E7" s="4" t="inlineStr">
        <is>
          <t>Phase 2 (1-3m)</t>
        </is>
      </c>
      <c r="F7" s="4" t="inlineStr">
        <is>
          <t>GRC Lead</t>
        </is>
      </c>
      <c r="G7" s="4" t="inlineStr">
        <is>
          <t>31-Aug-2026</t>
        </is>
      </c>
      <c r="H7" s="4" t="inlineStr">
        <is>
          <t>Role re-scan + UAT</t>
        </is>
      </c>
      <c r="I7" s="4" t="inlineStr">
        <is>
          <t>Planned</t>
        </is>
      </c>
    </row>
    <row r="8">
      <c r="B8" s="5" t="inlineStr">
        <is>
          <t>D-03</t>
        </is>
      </c>
      <c r="C8" s="5" t="inlineStr">
        <is>
          <t>Enforce access request workflow before grant</t>
        </is>
      </c>
      <c r="D8" s="5" t="inlineStr">
        <is>
          <t>P3-Med</t>
        </is>
      </c>
      <c r="E8" s="5" t="inlineStr">
        <is>
          <t>Phase 3 (3-6m)</t>
        </is>
      </c>
      <c r="F8" s="5" t="inlineStr">
        <is>
          <t>HR + IT</t>
        </is>
      </c>
      <c r="G8" s="5" t="inlineStr">
        <is>
          <t>30-Sep-2026</t>
        </is>
      </c>
      <c r="H8" s="5" t="inlineStr">
        <is>
          <t>Re-test sample of new users</t>
        </is>
      </c>
      <c r="I8" s="5" t="inlineStr">
        <is>
          <t>Planned</t>
        </is>
      </c>
    </row>
    <row r="9">
      <c r="B9" s="4" t="inlineStr">
        <is>
          <t>Monitoring</t>
        </is>
      </c>
      <c r="C9" s="4" t="inlineStr">
        <is>
          <t>Deploy AAC/ATC continuous monitoring</t>
        </is>
      </c>
      <c r="D9" s="4" t="inlineStr">
        <is>
          <t>P3-Med</t>
        </is>
      </c>
      <c r="E9" s="4" t="inlineStr">
        <is>
          <t>Phase 3 (3-6m)</t>
        </is>
      </c>
      <c r="F9" s="4" t="inlineStr">
        <is>
          <t>GRC Lead</t>
        </is>
      </c>
      <c r="G9" s="4" t="inlineStr">
        <is>
          <t>31-Oct-2026</t>
        </is>
      </c>
      <c r="H9" s="4" t="inlineStr">
        <is>
          <t>Dashboard live + incident SLA</t>
        </is>
      </c>
      <c r="I9" s="4" t="inlineStr">
        <is>
          <t>Planned</t>
        </is>
      </c>
    </row>
    <row r="10">
      <c r="B10" s="5" t="inlineStr">
        <is>
          <t>Cert</t>
        </is>
      </c>
      <c r="C10" s="5" t="inlineStr">
        <is>
          <t>Implement quarterly access certification</t>
        </is>
      </c>
      <c r="D10" s="5" t="inlineStr">
        <is>
          <t>P3-Med</t>
        </is>
      </c>
      <c r="E10" s="5" t="inlineStr">
        <is>
          <t>Phase 3 (3-6m)</t>
        </is>
      </c>
      <c r="F10" s="5" t="inlineStr">
        <is>
          <t>GRC Lead</t>
        </is>
      </c>
      <c r="G10" s="5" t="inlineStr">
        <is>
          <t>31-Oct-2026</t>
        </is>
      </c>
      <c r="H10" s="5" t="inlineStr">
        <is>
          <t>First cycle completed</t>
        </is>
      </c>
      <c r="I10" s="5" t="inlineStr">
        <is>
          <t>Planned</t>
        </is>
      </c>
    </row>
    <row r="13">
      <c r="B13" s="9" t="inlineStr">
        <is>
          <t>PHASED APPROACH</t>
        </is>
      </c>
    </row>
    <row r="14">
      <c r="B14" s="7" t="inlineStr">
        <is>
          <t>Phase 1 (0-30 days)</t>
        </is>
      </c>
      <c r="D14" s="18" t="inlineStr">
        <is>
          <t>Critical access removal, disable super-users, obvious SoD fixes - quick wins</t>
        </is>
      </c>
    </row>
    <row r="15">
      <c r="B15" s="7" t="inlineStr">
        <is>
          <t>Phase 2 (1-3 months)</t>
        </is>
      </c>
      <c r="D15" s="18" t="inlineStr">
        <is>
          <t>Custom role redesign, AAC model deployment, approval workflow fixes</t>
        </is>
      </c>
    </row>
    <row r="16">
      <c r="B16" s="7" t="inlineStr">
        <is>
          <t>Phase 3 (3-6 months)</t>
        </is>
      </c>
      <c r="D16" s="18" t="inlineStr">
        <is>
          <t>Continuous monitoring, periodic access certification, training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08080"/>
    <outlinePr summaryBelow="1" summaryRight="1"/>
    <pageSetUpPr/>
  </sheetPr>
  <dimension ref="B2:J6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2" customWidth="1" min="3" max="3"/>
    <col width="16" customWidth="1" min="4" max="4"/>
    <col width="26" customWidth="1" min="5" max="5"/>
    <col width="26" customWidth="1" min="6" max="6"/>
    <col width="22" customWidth="1" min="7" max="7"/>
    <col width="28" customWidth="1" min="8" max="8"/>
    <col width="26" customWidth="1" min="9" max="9"/>
    <col width="24" customWidth="1" min="10" max="10"/>
  </cols>
  <sheetData>
    <row r="2">
      <c r="B2" s="6" t="inlineStr">
        <is>
          <t>WP I: FINDINGS REPORT (Audit Committee Format)</t>
        </is>
      </c>
    </row>
    <row r="4">
      <c r="B4" s="3" t="inlineStr">
        <is>
          <t>Finding #</t>
        </is>
      </c>
      <c r="C4" s="3" t="inlineStr">
        <is>
          <t>Title</t>
        </is>
      </c>
      <c r="D4" s="3" t="inlineStr">
        <is>
          <t>Rating</t>
        </is>
      </c>
      <c r="E4" s="3" t="inlineStr">
        <is>
          <t>Condition</t>
        </is>
      </c>
      <c r="F4" s="3" t="inlineStr">
        <is>
          <t>Criteria</t>
        </is>
      </c>
      <c r="G4" s="3" t="inlineStr">
        <is>
          <t>Cause</t>
        </is>
      </c>
      <c r="H4" s="3" t="inlineStr">
        <is>
          <t>Effect</t>
        </is>
      </c>
      <c r="I4" s="3" t="inlineStr">
        <is>
          <t>Recommendation</t>
        </is>
      </c>
      <c r="J4" s="3" t="inlineStr">
        <is>
          <t>Mgmt Response</t>
        </is>
      </c>
    </row>
    <row r="5">
      <c r="B5" s="4" t="inlineStr">
        <is>
          <t>D-08</t>
        </is>
      </c>
      <c r="C5" s="4" t="inlineStr">
        <is>
          <t>Excessive privileged access - SoD violation</t>
        </is>
      </c>
      <c r="D5" s="17" t="inlineStr">
        <is>
          <t>Material Weakness</t>
        </is>
      </c>
      <c r="E5" s="4" t="inlineStr">
        <is>
          <t>3 finance users hold User Administration + transaction posting in Oracle Fusion</t>
        </is>
      </c>
      <c r="F5" s="4" t="inlineStr">
        <is>
          <t>SoD principle - admin must be segregated from transaction processing (Policy SEC-04 / SOX)</t>
        </is>
      </c>
      <c r="G5" s="4" t="inlineStr">
        <is>
          <t>Roles granted during migration; never reviewed</t>
        </is>
      </c>
      <c r="H5" s="4" t="inlineStr">
        <is>
          <t>Risk of unauthorized access grant &amp; fraudulent entries; potential material misstatement</t>
        </is>
      </c>
      <c r="I5" s="4" t="inlineStr">
        <is>
          <t>Remove User Admin duty; implement quarterly access certification</t>
        </is>
      </c>
      <c r="J5" s="4" t="inlineStr">
        <is>
          <t>Agreed. Owner: IT Security Head. Target 15-Jul-2026</t>
        </is>
      </c>
    </row>
    <row r="6">
      <c r="B6" s="5" t="inlineStr">
        <is>
          <t>D-05</t>
        </is>
      </c>
      <c r="C6" s="5" t="inlineStr">
        <is>
          <t>Inadequate change segregation</t>
        </is>
      </c>
      <c r="D6" s="11" t="inlineStr">
        <is>
          <t>Significant Deficiency</t>
        </is>
      </c>
      <c r="E6" s="5" t="inlineStr">
        <is>
          <t>Developer had production migration access</t>
        </is>
      </c>
      <c r="F6" s="5" t="inlineStr">
        <is>
          <t>Dev must be segregated from prod migration (change mgmt policy)</t>
        </is>
      </c>
      <c r="G6" s="5" t="inlineStr">
        <is>
          <t>No enforced segregation in deployment process</t>
        </is>
      </c>
      <c r="H6" s="5" t="inlineStr">
        <is>
          <t>Unauthorized/untested changes could reach production</t>
        </is>
      </c>
      <c r="I6" s="5" t="inlineStr">
        <is>
          <t>Segregate roles; enforce migration approval gate</t>
        </is>
      </c>
      <c r="J6" s="5" t="inlineStr">
        <is>
          <t>Agreed. Owner: IT Manager. Target 31-Aug-2026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A6A6A6"/>
    <outlinePr summaryBelow="1" summaryRight="1"/>
    <pageSetUpPr/>
  </sheetPr>
  <dimension ref="B2:D20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30" customWidth="1" min="3" max="3"/>
    <col width="20" customWidth="1" min="4" max="4"/>
  </cols>
  <sheetData>
    <row r="2">
      <c r="B2" s="6" t="inlineStr">
        <is>
          <t>REFERENCE: SAMPLING GUIDANCE &amp; TICKMARK LEGEND</t>
        </is>
      </c>
    </row>
    <row r="4">
      <c r="B4" s="3" t="inlineStr">
        <is>
          <t>Control Frequency</t>
        </is>
      </c>
      <c r="C4" s="3" t="inlineStr">
        <is>
          <t>Approx Population</t>
        </is>
      </c>
      <c r="D4" s="3" t="inlineStr">
        <is>
          <t>Suggested Sample Size</t>
        </is>
      </c>
    </row>
    <row r="5">
      <c r="B5" s="4" t="inlineStr">
        <is>
          <t>Annual</t>
        </is>
      </c>
      <c r="C5" s="4" t="inlineStr">
        <is>
          <t>1</t>
        </is>
      </c>
      <c r="D5" s="4" t="inlineStr">
        <is>
          <t>1</t>
        </is>
      </c>
    </row>
    <row r="6">
      <c r="B6" s="5" t="inlineStr">
        <is>
          <t>Quarterly</t>
        </is>
      </c>
      <c r="C6" s="5" t="inlineStr">
        <is>
          <t>4</t>
        </is>
      </c>
      <c r="D6" s="5" t="inlineStr">
        <is>
          <t>2</t>
        </is>
      </c>
    </row>
    <row r="7">
      <c r="B7" s="4" t="inlineStr">
        <is>
          <t>Monthly</t>
        </is>
      </c>
      <c r="C7" s="4" t="inlineStr">
        <is>
          <t>12</t>
        </is>
      </c>
      <c r="D7" s="4" t="inlineStr">
        <is>
          <t>2 - 5</t>
        </is>
      </c>
    </row>
    <row r="8">
      <c r="B8" s="5" t="inlineStr">
        <is>
          <t>Weekly</t>
        </is>
      </c>
      <c r="C8" s="5" t="inlineStr">
        <is>
          <t>52</t>
        </is>
      </c>
      <c r="D8" s="5" t="inlineStr">
        <is>
          <t>5 - 15</t>
        </is>
      </c>
    </row>
    <row r="9">
      <c r="B9" s="4" t="inlineStr">
        <is>
          <t>Daily</t>
        </is>
      </c>
      <c r="C9" s="4" t="inlineStr">
        <is>
          <t>250+</t>
        </is>
      </c>
      <c r="D9" s="4" t="inlineStr">
        <is>
          <t>15 - 25</t>
        </is>
      </c>
    </row>
    <row r="10">
      <c r="B10" s="5" t="inlineStr">
        <is>
          <t>Multiple times per day</t>
        </is>
      </c>
      <c r="C10" s="5" t="inlineStr">
        <is>
          <t>Many</t>
        </is>
      </c>
      <c r="D10" s="5" t="inlineStr">
        <is>
          <t>25 - 40</t>
        </is>
      </c>
    </row>
    <row r="11">
      <c r="B11" s="4" t="inlineStr">
        <is>
          <t>Automated (config)</t>
        </is>
      </c>
      <c r="C11" s="4" t="inlineStr">
        <is>
          <t>N/A</t>
        </is>
      </c>
      <c r="D11" s="4" t="inlineStr">
        <is>
          <t>1 (test of one) + ITGC reliance</t>
        </is>
      </c>
    </row>
    <row r="14">
      <c r="B14" s="9" t="inlineStr">
        <is>
          <t>TICKMARK LEGEND</t>
        </is>
      </c>
    </row>
    <row r="15">
      <c r="B15" s="7" t="inlineStr">
        <is>
          <t>Y / ✓</t>
        </is>
      </c>
      <c r="C15" s="22" t="inlineStr">
        <is>
          <t>Verified to supporting evidence</t>
        </is>
      </c>
    </row>
    <row r="16">
      <c r="B16" s="7" t="inlineStr">
        <is>
          <t>N / ✗</t>
        </is>
      </c>
      <c r="C16" s="22" t="inlineStr">
        <is>
          <t>Exception noted</t>
        </is>
      </c>
    </row>
    <row r="17">
      <c r="B17" s="7" t="inlineStr">
        <is>
          <t>Pass</t>
        </is>
      </c>
      <c r="C17" s="22" t="inlineStr">
        <is>
          <t>Attribute met, no exception</t>
        </is>
      </c>
    </row>
    <row r="18">
      <c r="B18" s="7" t="inlineStr">
        <is>
          <t>FAIL</t>
        </is>
      </c>
      <c r="C18" s="22" t="inlineStr">
        <is>
          <t>Attribute not met - deficiency</t>
        </is>
      </c>
    </row>
    <row r="19">
      <c r="B19" s="7" t="inlineStr">
        <is>
          <t>E</t>
        </is>
      </c>
      <c r="C19" s="22" t="inlineStr">
        <is>
          <t>Evidence attached (referenced)</t>
        </is>
      </c>
    </row>
    <row r="20">
      <c r="B20" s="7" t="inlineStr">
        <is>
          <t>N/A</t>
        </is>
      </c>
      <c r="C20" s="22" t="inlineStr">
        <is>
          <t>Not applicable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2026-07-03T12:27:22Z</dcterms:created>
  <dcterms:modified xsi:type="dcterms:W3CDTF">2026-07-03T12:27:22Z</dcterms:modified>
</cp:coreProperties>
</file>